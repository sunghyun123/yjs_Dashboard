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6A5CCE54-50EA-401D-8A65-AAF0D7813DAB}" xr6:coauthVersionLast="47" xr6:coauthVersionMax="47" xr10:uidLastSave="{00000000-0000-0000-0000-000000000000}"/>
  <bookViews>
    <workbookView xWindow="1320" yWindow="1290" windowWidth="22620" windowHeight="15480" xr2:uid="{00000000-000D-0000-FFFF-FFFF00000000}"/>
  </bookViews>
  <sheets>
    <sheet name="6월 공정현황" sheetId="2" r:id="rId1"/>
    <sheet name="6월 15일" sheetId="8" r:id="rId2"/>
    <sheet name="6월 8일" sheetId="3" r:id="rId3"/>
    <sheet name="6월 9일" sheetId="4" r:id="rId4"/>
    <sheet name="6월 10일" sheetId="5" r:id="rId5"/>
    <sheet name="6월 11일" sheetId="6" r:id="rId6"/>
    <sheet name="6월 12일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<sst xmlns="http://schemas.openxmlformats.org/spreadsheetml/2006/main" count="1533" uniqueCount="305">
  <si>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</si>
  <si>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</si>
  <si>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</si>
  <si>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</si>
  <si>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</si>
  <si>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</si>
  <si>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</si>
  <si>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</si>
  <si>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</si>
  <si>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</si>
  <si>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</si>
  <si>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</si>
  <si>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</si>
  <si>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</si>
  <si>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</si>
  <si>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</si>
  <si>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</si>
  <si>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</si>
  <si>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</si>
  <si>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</si>
  <si>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</si>
  <si>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</si>
  <si>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</si>
  <si>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</si>
  <si>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</si>
  <si>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</si>
  <si>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</si>
  <si>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</si>
  <si>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</si>
  <si>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</si>
  <si>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</si>
  <si>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</si>
  <si>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</si>
  <si>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</si>
  <si>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</si>
  <si>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</si>
  <si>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</si>
  <si>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</si>
  <si>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</si>
  <si>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</si>
  <si>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</si>
  <si>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</si>
  <si>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</si>
  <si>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</si>
  <si>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</si>
  <si>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</si>
  <si>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</si>
  <si>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</si>
  <si>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</si>
  <si>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</si>
  <si>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</si>
  <si>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</si>
  <si>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</si>
  <si>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</si>
  <si>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</si>
  <si>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</si>
  <si>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</si>
  <si>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</si>
  <si>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</si>
  <si>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</si>
  <si>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</si>
  <si>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</si>
  <si>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</si>
  <si>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</si>
  <si>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</si>
  <si>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</si>
  <si>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</si>
  <si>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</si>
  <si>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</si>
  <si>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</si>
  <si>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</si>
  <si>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</si>
  <si>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</si>
  <si>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</si>
  <si>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</si>
  <si>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</si>
  <si>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</si>
  <si>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</si>
  <si>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</si>
  <si>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</si>
  <si>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</si>
  <si>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</si>
  <si>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</si>
  <si>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</si>
  <si>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</si>
  <si>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</si>
  <si>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</si>
  <si>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</si>
  <si>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</si>
  <si>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</si>
  <si>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</si>
  <si>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</si>
  <si>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</si>
  <si>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</si>
  <si>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</si>
  <si>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</si>
  <si>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</si>
  <si>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</si>
  <si>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</si>
  <si>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</si>
  <si>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</si>
  <si>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</si>
  <si>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</si>
  <si>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</si>
  <si>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</si>
  <si>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</si>
  <si>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</si>
  <si>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</si>
  <si>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</si>
  <si>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</si>
  <si>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</si>
  <si>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</si>
  <si>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</si>
  <si>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</si>
  <si>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</si>
  <si>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</si>
  <si>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</si>
  <si>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</si>
  <si>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</si>
  <si>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</si>
  <si>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</si>
  <si>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</si>
  <si>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</si>
  <si>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</si>
  <si>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</si>
  <si>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</si>
  <si>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</si>
  <si>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</si>
  <si>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</si>
  <si>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</si>
  <si>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</si>
  <si>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</si>
  <si>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</si>
  <si>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</si>
  <si>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</si>
  <si>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</si>
  <si>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</si>
  <si>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</si>
  <si>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</si>
  <si>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</si>
  <si>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</si>
  <si>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</si>
  <si>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</si>
  <si>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</si>
  <si>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</si>
  <si>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</si>
  <si>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</si>
  <si>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</si>
  <si>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</si>
  <si>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</si>
  <si>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</si>
  <si>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</si>
  <si>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</si>
  <si>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</si>
  <si>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</si>
  <si>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</si>
  <si>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</si>
  <si>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</si>
  <si>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</si>
  <si>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</si>
  <si>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</si>
  <si>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</si>
  <si>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</si>
  <si>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</si>
  <si>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</si>
  <si>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</si>
  <si>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</si>
  <si>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</si>
  <si>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</si>
  <si>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</si>
  <si>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</si>
  <si>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</si>
  <si>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</si>
  <si>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</si>
  <si>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</si>
  <si>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</si>
  <si>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</si>
  <si>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</si>
  <si>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</si>
  <si>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</si>
  <si>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</si>
  <si>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</si>
  <si>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</si>
  <si>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</si>
  <si>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</si>
  <si>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</si>
  <si>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</si>
  <si>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</si>
  <si>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</si>
  <si>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</si>
  <si>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</si>
  <si>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</si>
  <si>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</si>
  <si>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</si>
  <si>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</si>
  <si>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</si>
  <si>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</si>
  <si>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</si>
  <si>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</si>
  <si>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</si>
  <si>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</si>
  <si>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</si>
  <si>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</si>
  <si>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</si>
  <si>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</si>
  <si>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</si>
  <si>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</si>
  <si>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</si>
  <si>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</si>
  <si>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</si>
  <si>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</si>
  <si>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</si>
  <si>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</si>
  <si>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</si>
  <si>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</si>
  <si>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</si>
  <si>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</si>
  <si>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</si>
  <si>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</si>
  <si>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</si>
  <si>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</si>
  <si>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</si>
  <si>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</si>
  <si>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</si>
  <si>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</si>
  <si>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</si>
  <si>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</si>
  <si>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</si>
  <si>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</si>
  <si>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</si>
  <si>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</si>
  <si>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</si>
  <si>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</si>
  <si>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</si>
  <si>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</si>
  <si>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</si>
  <si>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</si>
  <si>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</si>
  <si>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</si>
  <si>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</si>
  <si>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</si>
  <si>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</si>
  <si>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</si>
  <si>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</si>
  <si>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</si>
  <si>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</si>
  <si>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</si>
  <si>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</si>
  <si>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</si>
  <si>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</si>
  <si>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</si>
  <si>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</si>
  <si>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</si>
  <si>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</si>
  <si>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</si>
  <si>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</si>
  <si>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</si>
  <si>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</si>
  <si>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</si>
  <si>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</si>
  <si>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</si>
  <si>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</si>
  <si>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</si>
  <si>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</si>
  <si>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</si>
  <si>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</si>
  <si>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</si>
  <si>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</si>
  <si>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</si>
  <si>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</si>
  <si>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</si>
  <si>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</si>
  <si>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</si>
  <si>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</si>
  <si>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</si>
  <si>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</si>
  <si>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</si>
  <si>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</si>
  <si>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</si>
  <si>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</si>
  <si>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</si>
  <si>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</si>
  <si>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</si>
  <si>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</si>
  <si>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</si>
  <si>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</si>
  <si>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</si>
  <si>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</si>
  <si>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</si>
  <si>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</si>
  <si>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</si>
  <si>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</si>
  <si>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</si>
  <si>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</si>
  <si>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</si>
  <si>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</si>
  <si>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</si>
  <si>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</si>
  <si>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</si>
  <si>
    <t>JY26-059</t>
  </si>
  <si>
    <t>고천동528 박희상 저압 신설</t>
  </si>
  <si>
    <t>JY26-066</t>
  </si>
  <si>
    <t>초평동622-2 이원섭 저압 신설</t>
  </si>
  <si>
    <t>JY25-260</t>
  </si>
  <si>
    <t>안양동 413-1 (주)대영플러스 일반용(갑)저압 120Kw 신설 외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</si>
</sst>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3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6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49" fontId="21" fillId="7" borderId="1" xfId="0" applyNumberFormat="1" applyFont="1" applyFill="1" applyBorder="1" applyAlignment="1">
      <alignment horizontal="center" vertical="top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49" fontId="22" fillId="7" borderId="1" xfId="0" applyNumberFormat="1" applyFont="1" applyFill="1" applyBorder="1" applyAlignment="1">
      <alignment horizontal="center" vertical="top" wrapText="1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zoomScale="85" zoomScaleNormal="85" workbookViewId="0">
      <selection activeCell="C16" sqref="C16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2"/>
      <c r="B1" s="42"/>
      <c r="C1" s="42"/>
      <c r="D1" s="42"/>
      <c r="E1" s="42"/>
      <c r="F1" s="42"/>
    </row>
    <row r="2" spans="1:6" x14ac:dyDescent="0.25">
      <c r="A2" s="43" t="s">
        <v>11</v>
      </c>
      <c r="B2" s="43"/>
      <c r="C2" s="43"/>
      <c r="D2" s="43"/>
      <c r="E2" s="43"/>
      <c r="F2" s="43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37306167.600000001</v>
      </c>
      <c r="F5" s="3">
        <f t="shared" si="0"/>
        <v>1.24353892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14955278.33</v>
      </c>
      <c r="F8" s="3">
        <f t="shared" si="0"/>
        <v>0.40426226766502676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1705937.66</v>
      </c>
      <c r="F9" s="3">
        <f t="shared" ref="F9:F25" si="1">E9/D9</f>
        <v>0.99996345838218048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0</v>
      </c>
      <c r="F13" s="3">
        <f t="shared" si="1"/>
        <v>0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2459264.77</v>
      </c>
      <c r="F15" s="3">
        <f t="shared" si="1"/>
        <v>1.000107673851159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1131124.74</v>
      </c>
      <c r="F16" s="3">
        <f t="shared" si="1"/>
        <v>1.0001102917771882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1629647.99</v>
      </c>
      <c r="F17" s="3">
        <f t="shared" si="1"/>
        <v>1.5005966758747697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203883.27</v>
      </c>
      <c r="F20" s="3">
        <f t="shared" si="1"/>
        <v>0.78719409266409257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925466.57</v>
      </c>
      <c r="F21" s="3">
        <f t="shared" si="1"/>
        <v>1.0005043999999998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17285.71</v>
      </c>
      <c r="F22" s="3">
        <f t="shared" si="1"/>
        <v>1.0168064705882351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405701.07</v>
      </c>
      <c r="F23" s="3">
        <f t="shared" si="1"/>
        <v>1.0017310370370371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1575342.96</v>
      </c>
      <c r="F25" s="3">
        <f t="shared" si="1"/>
        <v>1.5721985628742514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0</v>
      </c>
      <c r="F26" s="3">
        <f>E26/D26</f>
        <v>0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0</v>
      </c>
      <c r="F27" s="3">
        <f>E27/D27</f>
        <v>0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7472742</v>
      </c>
      <c r="F28" s="3">
        <f>E28/D28</f>
        <v>1.0000993040685224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0</v>
      </c>
      <c r="F30" s="3">
        <f>E30/D30</f>
        <v>0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79691557.75</v>
      </c>
      <c r="F32" s="7">
        <f>IF(D32&gt;0,E32/D32,"-")</f>
        <v>0.18565301747233548</v>
      </c>
    </row>
    <row r="34" spans="1:16" ht="16.5" customHeight="1" x14ac:dyDescent="0.25">
      <c r="A34" s="44" t="s">
        <v>13</v>
      </c>
      <c r="B34" s="44"/>
      <c r="C34" s="44"/>
      <c r="D34" s="44"/>
      <c r="E34" s="44"/>
      <c r="F34" s="44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279805.15999999997</v>
      </c>
    </row>
    <row r="37" spans="1:16" ht="16.5" x14ac:dyDescent="0.25">
      <c r="A37" s="22" t="s">
        <v>77</v>
      </c>
      <c r="C37" t="s">
        <v>81</v>
      </c>
      <c r="E37" s="2">
        <v>6256891.4800000004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898035.92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A40" s="22" t="s">
        <v>299</v>
      </c>
      <c r="C40" t="s">
        <v>300</v>
      </c>
      <c r="E40" s="2">
        <v>507687.92</v>
      </c>
      <c r="F40" t="s">
        <v>14</v>
      </c>
    </row>
    <row r="41" spans="1:16" x14ac:dyDescent="0.25">
      <c r="A41" s="22" t="s">
        <v>301</v>
      </c>
      <c r="C41" t="s">
        <v>302</v>
      </c>
      <c r="E41" s="2">
        <v>835486.55</v>
      </c>
      <c r="F41" t="s">
        <v>14</v>
      </c>
    </row>
    <row r="42" spans="1:16" x14ac:dyDescent="0.25">
      <c r="E42" s="2"/>
      <c r="F42" t="s">
        <v>14</v>
      </c>
    </row>
    <row r="43" spans="1:16" x14ac:dyDescent="0.25">
      <c r="E43" s="2"/>
      <c r="F43" t="s">
        <v>14</v>
      </c>
    </row>
    <row r="44" spans="1:16" x14ac:dyDescent="0.25">
      <c r="E44" s="2"/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8981407.0300000012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88672964.780000001</v>
      </c>
      <c r="F48" s="13">
        <f>E48/D48</f>
        <v>0.20657650502038438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3E24-A858-4FF0-8BBB-75D3F5ECBECA}">
  <dimension ref="A1:C355"/>
  <sheetViews>
    <sheetView workbookViewId="0">
      <selection activeCell="H13" sqref="H13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5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7472742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14955278.33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88672964.780000001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5DBBE-FC44-4248-8D66-BE79894FA05F}">
  <dimension ref="A1:C346"/>
  <sheetViews>
    <sheetView topLeftCell="A14"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26114317.32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62367135.600000001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C1D8-3950-4A39-9E0E-EB4AB1040608}">
  <dimension ref="A1:C352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x14ac:dyDescent="0.25">
      <c r="A222" s="31" t="s">
        <v>299</v>
      </c>
      <c r="B222" s="32" t="s">
        <v>300</v>
      </c>
      <c r="C222" s="33">
        <v>507687.92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301</v>
      </c>
      <c r="B225" s="27" t="s">
        <v>302</v>
      </c>
      <c r="C225" s="28">
        <v>835486.55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221</v>
      </c>
      <c r="B228" s="32" t="s">
        <v>222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223</v>
      </c>
      <c r="B231" s="27" t="s">
        <v>224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225</v>
      </c>
      <c r="B234" s="32" t="s">
        <v>226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227</v>
      </c>
      <c r="B237" s="27" t="s">
        <v>228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229</v>
      </c>
      <c r="B240" s="32" t="s">
        <v>230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231</v>
      </c>
      <c r="B243" s="27" t="s">
        <v>232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233</v>
      </c>
      <c r="B246" s="32" t="s">
        <v>234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235</v>
      </c>
      <c r="B249" s="27" t="s">
        <v>236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237</v>
      </c>
      <c r="B252" s="32" t="s">
        <v>238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239</v>
      </c>
      <c r="B255" s="27" t="s">
        <v>240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241</v>
      </c>
      <c r="B258" s="32" t="s">
        <v>242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243</v>
      </c>
      <c r="B261" s="27" t="s">
        <v>244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32</v>
      </c>
      <c r="B264" s="32" t="s">
        <v>245</v>
      </c>
      <c r="C264" s="33">
        <v>1131124.74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20</v>
      </c>
      <c r="B267" s="27" t="s">
        <v>246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247</v>
      </c>
      <c r="B270" s="32" t="s">
        <v>248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249</v>
      </c>
      <c r="B273" s="27" t="s">
        <v>250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30</v>
      </c>
      <c r="B276" s="32" t="s">
        <v>251</v>
      </c>
      <c r="C276" s="33">
        <v>2459264.77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x14ac:dyDescent="0.25">
      <c r="A279" s="26" t="s">
        <v>252</v>
      </c>
      <c r="B279" s="27" t="s">
        <v>253</v>
      </c>
      <c r="C279" s="28">
        <v>279805.15999999997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254</v>
      </c>
      <c r="B282" s="32" t="s">
        <v>255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1</v>
      </c>
      <c r="B285" s="27" t="s">
        <v>256</v>
      </c>
      <c r="C285" s="28">
        <v>1705937.66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257</v>
      </c>
      <c r="B288" s="32" t="s">
        <v>258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259</v>
      </c>
      <c r="B291" s="27" t="s">
        <v>260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261</v>
      </c>
      <c r="B294" s="32" t="s">
        <v>262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263</v>
      </c>
      <c r="B297" s="27" t="s">
        <v>264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</v>
      </c>
      <c r="B300" s="32" t="s">
        <v>265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266</v>
      </c>
      <c r="B303" s="27" t="s">
        <v>267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268</v>
      </c>
      <c r="B306" s="32" t="s">
        <v>269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270</v>
      </c>
      <c r="B309" s="27" t="s">
        <v>271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272</v>
      </c>
      <c r="B312" s="32" t="s">
        <v>273</v>
      </c>
      <c r="C312" s="33">
        <v>13381038.51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274</v>
      </c>
      <c r="B315" s="27" t="s">
        <v>275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276</v>
      </c>
      <c r="B318" s="32" t="s">
        <v>277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278</v>
      </c>
      <c r="B321" s="27" t="s">
        <v>279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280</v>
      </c>
      <c r="B324" s="32" t="s">
        <v>281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282</v>
      </c>
      <c r="B327" s="27" t="s">
        <v>283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284</v>
      </c>
      <c r="B330" s="32" t="s">
        <v>285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3</v>
      </c>
      <c r="B333" s="27" t="s">
        <v>286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287</v>
      </c>
      <c r="B336" s="32" t="s">
        <v>64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288</v>
      </c>
      <c r="B339" s="27" t="s">
        <v>289</v>
      </c>
      <c r="C339" s="28">
        <v>32829427.489999998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290</v>
      </c>
      <c r="B342" s="32" t="s">
        <v>291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x14ac:dyDescent="0.25">
      <c r="A345" s="26" t="s">
        <v>292</v>
      </c>
      <c r="B345" s="27" t="s">
        <v>293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294</v>
      </c>
      <c r="B348" s="32" t="s">
        <v>295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36"/>
      <c r="B350" s="36"/>
      <c r="C350" s="36"/>
    </row>
    <row r="351" spans="1:3" x14ac:dyDescent="0.25">
      <c r="A351" s="37" t="s">
        <v>296</v>
      </c>
      <c r="B351" s="38" t="s">
        <v>297</v>
      </c>
      <c r="C351" s="39">
        <v>73573899.890000001</v>
      </c>
    </row>
    <row r="352" spans="1:3" x14ac:dyDescent="0.25">
      <c r="A352" s="40"/>
      <c r="B352" s="40"/>
      <c r="C352" s="40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B120-DF0E-482F-A671-B91FA1F387E8}">
  <dimension ref="A1:C355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4035280.68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13381038.51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83661263.640000001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6월 공정현황</vt:lpstr>
      <vt:lpstr>6월 15일</vt:lpstr>
      <vt:lpstr>6월 8일</vt:lpstr>
      <vt:lpstr>6월 9일</vt:lpstr>
      <vt:lpstr>6월 10일</vt:lpstr>
      <vt:lpstr>6월 11일</vt:lpstr>
      <vt:lpstr>6월 12일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2026-06-15T00:57:09Z</dcterms:modified>
</cp:coreProperties>
</file>