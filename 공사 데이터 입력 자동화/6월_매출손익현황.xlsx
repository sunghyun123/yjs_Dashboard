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조성현\Documents\GitHub\yjs_Dashboard\공사 데이터 입력 자동화\"/>
    </mc:Choice>
  </mc:AlternateContent>
  <xr:revisionPtr revIDLastSave="0" documentId="13_ncr:1_{0419091C-68BB-4590-8BDC-9718A988EF6C}" xr6:coauthVersionLast="47" xr6:coauthVersionMax="47" xr10:uidLastSave="{00000000-0000-0000-0000-000000000000}"/>
  <bookViews>
    <workbookView xWindow="4710" yWindow="375" windowWidth="22620" windowHeight="15480" xr2:uid="{00000000-000D-0000-FFFF-FFFF00000000}"/>
  </bookViews>
  <sheets>
    <sheet name="6월 공정현황" sheetId="2" r:id="rId1"/>
    <sheet name="6월 8일" sheetId="3" r:id="rId2"/>
    <sheet name="6월 9일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8" i="2"/>
  <c r="D32" i="2"/>
  <c r="D48" i="2" s="1"/>
  <c r="F7" i="2"/>
  <c r="F6" i="2"/>
  <c r="F5" i="2"/>
  <c r="F4" i="2"/>
  <c r="F25" i="2"/>
  <c r="F26" i="2"/>
  <c r="F27" i="2"/>
  <c r="F28" i="2"/>
  <c r="F29" i="2"/>
  <c r="F30" i="2"/>
  <c r="E46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E48" i="2" l="1"/>
  <c r="F48" i="2" s="1"/>
  <c r="F32" i="2"/>
</calcChain>
</file>

<file path=xl/sharedStrings.xml><?xml version="1.0" encoding="utf-8"?>
<sst xmlns="http://schemas.openxmlformats.org/spreadsheetml/2006/main" count="585" uniqueCount="299">
  <si>
    <t>JY25-256</t>
  </si>
  <si>
    <t>SY25-011</t>
  </si>
  <si>
    <t>SY25-032</t>
  </si>
  <si>
    <t>SY26-016</t>
  </si>
  <si>
    <t>공사명</t>
  </si>
  <si>
    <t>JY26-011</t>
  </si>
  <si>
    <t>JY25-165</t>
  </si>
  <si>
    <t>JY25-172</t>
  </si>
  <si>
    <t>No.</t>
  </si>
  <si>
    <t>목표 금액</t>
  </si>
  <si>
    <t>공정률</t>
  </si>
  <si>
    <t>계획 공사</t>
  </si>
  <si>
    <t>계획 공사 소계</t>
  </si>
  <si>
    <t>계획 외 공사</t>
  </si>
  <si>
    <t>-</t>
  </si>
  <si>
    <t>계획 외 공사 소계</t>
  </si>
  <si>
    <t>(목표없음)</t>
  </si>
  <si>
    <t>※ 총 공정률 = (계획 공사 실적 + 계획 외 공사 실적) ÷ 계획 공사 목표금액</t>
  </si>
  <si>
    <t>※ 총 공정률이 100%를 초과할 경우, 계획 외 공사 수행으로 인한 초과 달성을 의미합니다.</t>
  </si>
  <si>
    <t>JY26-045</t>
  </si>
  <si>
    <t>SG26-005</t>
  </si>
  <si>
    <t>JG26-028</t>
  </si>
  <si>
    <r>
      <t>대농</t>
    </r>
    <r>
      <rPr>
        <sz val="11"/>
        <color rgb="FF000000"/>
        <rFont val="Calibri"/>
        <family val="2"/>
      </rPr>
      <t xml:space="preserve">2 </t>
    </r>
    <r>
      <rPr>
        <sz val="11"/>
        <color rgb="FF000000"/>
        <rFont val="돋움"/>
        <family val="3"/>
        <charset val="129"/>
      </rPr>
      <t>맨홀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저압접속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불량개소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보수공사</t>
    </r>
  </si>
  <si>
    <t>SY26-010</t>
  </si>
  <si>
    <r>
      <t>경수</t>
    </r>
    <r>
      <rPr>
        <sz val="11"/>
        <color rgb="FF000000"/>
        <rFont val="Calibri"/>
        <family val="2"/>
      </rPr>
      <t xml:space="preserve">SW48 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경과지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관로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계통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보강공사</t>
    </r>
  </si>
  <si>
    <t>SY25-020</t>
  </si>
  <si>
    <r>
      <t>경수</t>
    </r>
    <r>
      <rPr>
        <sz val="11"/>
        <color rgb="FF000000"/>
        <rFont val="Calibri"/>
        <family val="2"/>
      </rPr>
      <t>TR24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26</t>
    </r>
    <r>
      <rPr>
        <sz val="11"/>
        <color rgb="FF000000"/>
        <rFont val="돋움"/>
        <family val="3"/>
        <charset val="129"/>
      </rPr>
      <t>년경과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노후변압기선로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</si>
  <si>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r>
      <t>안양동</t>
    </r>
    <r>
      <rPr>
        <sz val="11"/>
        <color rgb="FF000000"/>
        <rFont val="Calibri"/>
        <family val="2"/>
      </rPr>
      <t xml:space="preserve"> 682-3 </t>
    </r>
    <r>
      <rPr>
        <sz val="11"/>
        <color rgb="FF000000"/>
        <rFont val="돋움"/>
        <family val="3"/>
        <charset val="129"/>
      </rPr>
      <t>현대건설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지중외상고장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복구공사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에스제이이</t>
    </r>
    <r>
      <rPr>
        <sz val="11"/>
        <color rgb="FF000000"/>
        <rFont val="Calibri"/>
        <family val="2"/>
      </rPr>
      <t>)</t>
    </r>
  </si>
  <si>
    <r>
      <rPr>
        <sz val="11"/>
        <color rgb="FF000000"/>
        <rFont val="맑은 고딕"/>
        <family val="3"/>
        <charset val="129"/>
      </rPr>
      <t>부림</t>
    </r>
    <r>
      <rPr>
        <sz val="11"/>
        <color rgb="FF000000"/>
        <rFont val="Calibri"/>
        <family val="3"/>
      </rPr>
      <t xml:space="preserve">SW5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수명만료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노후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지중케이블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교체공사</t>
    </r>
    <phoneticPr fontId="2" type="noConversion"/>
  </si>
  <si>
    <r>
      <t>26</t>
    </r>
    <r>
      <rPr>
        <sz val="11"/>
        <color rgb="FF000000"/>
        <rFont val="돋움"/>
        <family val="3"/>
        <charset val="129"/>
      </rPr>
      <t>년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특정제원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</si>
  <si>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t>SG26-011</t>
  </si>
  <si>
    <r>
      <t>특정제원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이엔테크제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 xml:space="preserve">249, 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>138-2)</t>
    </r>
  </si>
  <si>
    <t>SG26-004</t>
  </si>
  <si>
    <r>
      <t>하안</t>
    </r>
    <r>
      <rPr>
        <sz val="11"/>
        <color rgb="FF000000"/>
        <rFont val="Calibri"/>
        <family val="3"/>
        <charset val="129"/>
      </rPr>
      <t xml:space="preserve">259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3"/>
        <charset val="129"/>
      </rPr>
      <t>(PT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3"/>
        <charset val="129"/>
      </rPr>
      <t>)</t>
    </r>
  </si>
  <si>
    <r>
      <rPr>
        <b/>
        <sz val="11"/>
        <color rgb="FFFFFFFF"/>
        <rFont val="맑은 고딕"/>
        <family val="3"/>
        <charset val="129"/>
      </rPr>
      <t>6월</t>
    </r>
    <r>
      <rPr>
        <b/>
        <sz val="11"/>
        <color rgb="FFFFFFFF"/>
        <rFont val="Calibri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실적</t>
    </r>
    <phoneticPr fontId="2" type="noConversion"/>
  </si>
  <si>
    <t>관양동 1385-3 ㈜한미건설 임시 20kw 신설</t>
  </si>
  <si>
    <t>박달동 15-17 조인준 일반용(갑)저압 10kw 신설</t>
  </si>
  <si>
    <t>고천나구역 초등학교부지 일반용(을)고압A 950kw 신설</t>
  </si>
  <si>
    <t>JY25.260</t>
  </si>
  <si>
    <r>
      <rPr>
        <sz val="11"/>
        <color rgb="FF000000"/>
        <rFont val="맑은 고딕"/>
        <family val="3"/>
        <charset val="129"/>
      </rPr>
      <t>광명동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광명시장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일반용</t>
    </r>
    <r>
      <rPr>
        <sz val="11"/>
        <color rgb="FF000000"/>
        <rFont val="Calibri"/>
        <family val="2"/>
      </rPr>
      <t xml:space="preserve"> 850kw </t>
    </r>
    <r>
      <rPr>
        <sz val="11"/>
        <color rgb="FF000000"/>
        <rFont val="맑은 고딕"/>
        <family val="3"/>
        <charset val="129"/>
      </rPr>
      <t>신설</t>
    </r>
    <r>
      <rPr>
        <sz val="11"/>
        <color rgb="FF000000"/>
        <rFont val="Calibri"/>
        <family val="2"/>
      </rPr>
      <t>_3167</t>
    </r>
    <phoneticPr fontId="2" type="noConversion"/>
  </si>
  <si>
    <r>
      <t>내손라구역</t>
    </r>
    <r>
      <rPr>
        <sz val="11"/>
        <color rgb="FF000000"/>
        <rFont val="Calibri"/>
        <family val="2"/>
      </rPr>
      <t xml:space="preserve"> GS</t>
    </r>
    <r>
      <rPr>
        <sz val="11"/>
        <color rgb="FF000000"/>
        <rFont val="돋움"/>
        <family val="3"/>
        <charset val="129"/>
      </rPr>
      <t>건설</t>
    </r>
    <r>
      <rPr>
        <sz val="11"/>
        <color rgb="FF000000"/>
        <rFont val="Calibri"/>
        <family val="2"/>
      </rPr>
      <t xml:space="preserve"> 300kW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</si>
  <si>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대우건설</t>
    </r>
    <r>
      <rPr>
        <sz val="11"/>
        <color rgb="FF000000"/>
        <rFont val="Calibri"/>
        <family val="2"/>
      </rPr>
      <t xml:space="preserve"> 160kW </t>
    </r>
    <r>
      <rPr>
        <sz val="11"/>
        <color rgb="FF000000"/>
        <rFont val="돋움"/>
        <family val="3"/>
        <charset val="129"/>
      </rPr>
      <t>신설공사</t>
    </r>
    <r>
      <rPr>
        <sz val="11"/>
        <color rgb="FF000000"/>
        <rFont val="Calibri"/>
        <family val="2"/>
      </rPr>
      <t xml:space="preserve"> 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</si>
  <si>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안양동</t>
    </r>
    <r>
      <rPr>
        <sz val="11"/>
        <color rgb="FF000000"/>
        <rFont val="Calibri"/>
        <family val="2"/>
      </rPr>
      <t xml:space="preserve"> 413-1 </t>
    </r>
    <r>
      <rPr>
        <sz val="11"/>
        <color rgb="FF000000"/>
        <rFont val="돋움"/>
        <family val="3"/>
        <charset val="129"/>
      </rPr>
      <t>㈜대영플러스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일반용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갑</t>
    </r>
    <r>
      <rPr>
        <sz val="11"/>
        <color rgb="FF000000"/>
        <rFont val="Calibri"/>
        <family val="2"/>
      </rPr>
      <t>)</t>
    </r>
    <r>
      <rPr>
        <sz val="11"/>
        <color rgb="FF000000"/>
        <rFont val="돋움"/>
        <family val="3"/>
        <charset val="129"/>
      </rPr>
      <t>저압</t>
    </r>
    <r>
      <rPr>
        <sz val="11"/>
        <color rgb="FF000000"/>
        <rFont val="Calibri"/>
        <family val="2"/>
      </rPr>
      <t xml:space="preserve"> 120kW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1</t>
    </r>
  </si>
  <si>
    <r>
      <t>관양동</t>
    </r>
    <r>
      <rPr>
        <sz val="11"/>
        <color rgb="FF000000"/>
        <rFont val="Calibri"/>
        <family val="2"/>
      </rPr>
      <t xml:space="preserve">1020-1 </t>
    </r>
    <r>
      <rPr>
        <sz val="11"/>
        <color rgb="FF000000"/>
        <rFont val="돋움"/>
        <family val="3"/>
        <charset val="129"/>
      </rPr>
      <t>현대드림모터스</t>
    </r>
    <r>
      <rPr>
        <sz val="11"/>
        <color rgb="FF000000"/>
        <rFont val="Calibri"/>
        <family val="2"/>
      </rPr>
      <t xml:space="preserve"> 89kw </t>
    </r>
    <r>
      <rPr>
        <sz val="11"/>
        <color rgb="FF000000"/>
        <rFont val="돋움"/>
        <family val="3"/>
        <charset val="129"/>
      </rPr>
      <t>증설</t>
    </r>
    <r>
      <rPr>
        <sz val="11"/>
        <color rgb="FF000000"/>
        <rFont val="Calibri"/>
        <family val="2"/>
      </rPr>
      <t>_3040</t>
    </r>
  </si>
  <si>
    <t>(지중)하안동 광명시청 일반용(갑)저압 300kw 신설(상용/임시)</t>
    <phoneticPr fontId="16" type="noConversion"/>
  </si>
  <si>
    <t>담당자</t>
    <phoneticPr fontId="2" type="noConversion"/>
  </si>
  <si>
    <t>김상훈</t>
    <phoneticPr fontId="2" type="noConversion"/>
  </si>
  <si>
    <t>이재규</t>
    <phoneticPr fontId="2" type="noConversion"/>
  </si>
  <si>
    <r>
      <rPr>
        <sz val="11"/>
        <color rgb="FF000000"/>
        <rFont val="맑은 고딕"/>
        <family val="3"/>
        <charset val="129"/>
      </rPr>
      <t>호계동</t>
    </r>
    <r>
      <rPr>
        <sz val="11"/>
        <color rgb="FF000000"/>
        <rFont val="Calibri"/>
        <family val="2"/>
      </rPr>
      <t xml:space="preserve">553-1 </t>
    </r>
    <r>
      <rPr>
        <sz val="11"/>
        <color rgb="FF000000"/>
        <rFont val="돋움"/>
        <family val="3"/>
        <charset val="129"/>
      </rPr>
      <t>평촌어반밸리</t>
    </r>
    <r>
      <rPr>
        <sz val="11"/>
        <color rgb="FF000000"/>
        <rFont val="Calibri"/>
        <family val="2"/>
      </rPr>
      <t xml:space="preserve"> 10,750kw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_3746</t>
    </r>
    <phoneticPr fontId="2" type="noConversion"/>
  </si>
  <si>
    <r>
      <rPr>
        <sz val="11"/>
        <color rgb="FF000000"/>
        <rFont val="맑은 고딕"/>
        <family val="3"/>
        <charset val="129"/>
      </rPr>
      <t>학의동</t>
    </r>
    <r>
      <rPr>
        <sz val="11"/>
        <color rgb="FF000000"/>
        <rFont val="Calibri"/>
        <family val="2"/>
      </rPr>
      <t xml:space="preserve">1181 </t>
    </r>
    <r>
      <rPr>
        <sz val="11"/>
        <color rgb="FF000000"/>
        <rFont val="돋움"/>
        <family val="3"/>
        <charset val="129"/>
      </rPr>
      <t>리젠시빌주택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고압</t>
    </r>
    <r>
      <rPr>
        <sz val="11"/>
        <color rgb="FF000000"/>
        <rFont val="Calibri"/>
        <family val="2"/>
      </rPr>
      <t xml:space="preserve"> 200kw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_3206</t>
    </r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</si>
  <si>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97-3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주택용</t>
    </r>
    <r>
      <rPr>
        <sz val="11"/>
        <color rgb="FF000000"/>
        <rFont val="Calibri"/>
        <family val="2"/>
      </rPr>
      <t xml:space="preserve"> 3kw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</si>
  <si>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t>JY25-053</t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</si>
  <si>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165-1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가로등</t>
    </r>
    <r>
      <rPr>
        <sz val="11"/>
        <color rgb="FF000000"/>
        <rFont val="Calibri"/>
        <family val="2"/>
      </rPr>
      <t>(</t>
    </r>
    <r>
      <rPr>
        <sz val="11"/>
        <color rgb="FF000000"/>
        <rFont val="맑은 고딕"/>
        <family val="3"/>
        <charset val="129"/>
      </rPr>
      <t>갑</t>
    </r>
    <r>
      <rPr>
        <sz val="11"/>
        <color rgb="FF000000"/>
        <rFont val="Calibri"/>
        <family val="2"/>
      </rPr>
      <t xml:space="preserve">) 1kw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</si>
  <si>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JY25-054</t>
    <phoneticPr fontId="2" type="noConversion"/>
  </si>
  <si>
    <r>
      <rPr>
        <sz val="11"/>
        <color rgb="FF000000"/>
        <rFont val="맑은 고딕"/>
        <family val="3"/>
        <charset val="129"/>
      </rPr>
      <t>고천동</t>
    </r>
    <r>
      <rPr>
        <sz val="11"/>
        <color rgb="FF000000"/>
        <rFont val="Calibri"/>
        <family val="2"/>
      </rPr>
      <t xml:space="preserve"> 526-7 </t>
    </r>
    <r>
      <rPr>
        <sz val="11"/>
        <color rgb="FF000000"/>
        <rFont val="맑은 고딕"/>
        <family val="3"/>
        <charset val="129"/>
      </rPr>
      <t>이인성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35kw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</si>
  <si>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JY26-051</t>
    <phoneticPr fontId="2" type="noConversion"/>
  </si>
  <si>
    <t>JY26-042</t>
    <phoneticPr fontId="2" type="noConversion"/>
  </si>
  <si>
    <t>JY26-043</t>
    <phoneticPr fontId="2" type="noConversion"/>
  </si>
  <si>
    <t>JY26-022</t>
    <phoneticPr fontId="2" type="noConversion"/>
  </si>
  <si>
    <r>
      <rPr>
        <b/>
        <sz val="12"/>
        <color rgb="FFFFFFFF"/>
        <rFont val="Segoe UI Symbol"/>
        <family val="1"/>
      </rPr>
      <t>▶</t>
    </r>
    <r>
      <rPr>
        <b/>
        <sz val="12"/>
        <color rgb="FFFFFFFF"/>
        <rFont val="Calibri"/>
        <family val="2"/>
      </rPr>
      <t xml:space="preserve"> 6</t>
    </r>
    <r>
      <rPr>
        <b/>
        <sz val="12"/>
        <color rgb="FFFFFFFF"/>
        <rFont val="맑은 고딕"/>
        <family val="3"/>
        <charset val="129"/>
      </rPr>
      <t>월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총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공정현황</t>
    </r>
    <phoneticPr fontId="2" type="noConversion"/>
  </si>
  <si>
    <t>김무선</t>
    <phoneticPr fontId="2" type="noConversion"/>
  </si>
  <si>
    <t>목표</t>
    <phoneticPr fontId="2" type="noConversion"/>
  </si>
  <si>
    <t>달성</t>
    <phoneticPr fontId="2" type="noConversion"/>
  </si>
  <si>
    <t>공정률</t>
    <phoneticPr fontId="2" type="noConversion"/>
  </si>
  <si>
    <t>안양 샘모루초교 지중화공사</t>
  </si>
  <si>
    <t>군포중 지중화공사</t>
  </si>
  <si>
    <t>남양 뉴타운배전간선 설치공사</t>
  </si>
  <si>
    <t>과천부림동 지중화공사</t>
  </si>
  <si>
    <t>TY25-003</t>
    <phoneticPr fontId="2" type="noConversion"/>
  </si>
  <si>
    <t>TY25-004</t>
    <phoneticPr fontId="2" type="noConversion"/>
  </si>
  <si>
    <t>TY25-006</t>
    <phoneticPr fontId="2" type="noConversion"/>
  </si>
  <si>
    <t>MY25-001</t>
  </si>
  <si>
    <t>JY26-057</t>
  </si>
  <si>
    <t>김단후</t>
    <phoneticPr fontId="2" type="noConversion"/>
  </si>
  <si>
    <t>부림SW53외 26년경과 노후변압기선로 교체공사</t>
    <phoneticPr fontId="2" type="noConversion"/>
  </si>
  <si>
    <t>SY26-002</t>
    <phoneticPr fontId="2" type="noConversion"/>
  </si>
  <si>
    <r>
      <rPr>
        <sz val="11"/>
        <color rgb="FF000000"/>
        <rFont val="맑은 고딕"/>
        <family val="3"/>
        <charset val="129"/>
      </rPr>
      <t>수암천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하천정비 및 주차장,공사 조성사업 전기공사</t>
    </r>
    <phoneticPr fontId="2" type="noConversion"/>
  </si>
  <si>
    <t>JY26-050</t>
    <phoneticPr fontId="2" type="noConversion"/>
  </si>
  <si>
    <t>JY26-013</t>
    <phoneticPr fontId="2" type="noConversion"/>
  </si>
  <si>
    <t>SG26-014</t>
    <phoneticPr fontId="2" type="noConversion"/>
  </si>
  <si>
    <r>
      <t xml:space="preserve">9321X969 </t>
    </r>
    <r>
      <rPr>
        <sz val="11"/>
        <color rgb="FF000000"/>
        <rFont val="돋움"/>
        <family val="3"/>
        <charset val="129"/>
      </rPr>
      <t>입상점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철거</t>
    </r>
    <phoneticPr fontId="16" type="noConversion"/>
  </si>
  <si>
    <r>
      <rPr>
        <sz val="11"/>
        <color rgb="FF000000"/>
        <rFont val="맑은 고딕"/>
        <family val="3"/>
        <charset val="129"/>
      </rPr>
      <t>내손동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190kw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</si>
  <si>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r>
      <t>고천동</t>
    </r>
    <r>
      <rPr>
        <sz val="11"/>
        <color rgb="FF000000"/>
        <rFont val="Calibri"/>
        <family val="2"/>
      </rPr>
      <t xml:space="preserve">227-4 </t>
    </r>
    <r>
      <rPr>
        <sz val="11"/>
        <color rgb="FF000000"/>
        <rFont val="돋움"/>
        <family val="3"/>
        <charset val="129"/>
      </rPr>
      <t>고천프라자</t>
    </r>
    <r>
      <rPr>
        <sz val="11"/>
        <color rgb="FF000000"/>
        <rFont val="Calibri"/>
        <family val="2"/>
      </rPr>
      <t xml:space="preserve"> 350kw </t>
    </r>
    <r>
      <rPr>
        <sz val="11"/>
        <color rgb="FF000000"/>
        <rFont val="돋움"/>
        <family val="3"/>
        <charset val="129"/>
      </rPr>
      <t>신설</t>
    </r>
    <phoneticPr fontId="16" type="noConversion"/>
  </si>
  <si>
    <t>지중No</t>
  </si>
  <si>
    <t>6월</t>
  </si>
  <si>
    <t>CG26-001</t>
  </si>
  <si>
    <t>일직동 528-1(아지건설 저압 30KW전기공급)</t>
  </si>
  <si>
    <t>CG26-005</t>
  </si>
  <si>
    <t>26년도 지상기기 정기검사 (광명역세권지구)</t>
  </si>
  <si>
    <t>CG26-006</t>
  </si>
  <si>
    <t>일직동 528-1(효성,저압 50KW ) 전기공급공사</t>
  </si>
  <si>
    <t>CG26-007</t>
  </si>
  <si>
    <t>일직동 511-2 (시티글로벌,고압 300KW)전기공급공사</t>
  </si>
  <si>
    <t>CG26-008</t>
  </si>
  <si>
    <t>2026년도 접속함 점검 및 청소 용역도급계약</t>
  </si>
  <si>
    <t>CG26-113</t>
  </si>
  <si>
    <t>JG25-038</t>
  </si>
  <si>
    <t>광명시 광명동 소방청 일반용 499kW 신설</t>
  </si>
  <si>
    <t>JG25-041</t>
  </si>
  <si>
    <t>광명시 가학동 경기주택도시공사 일반용 300kw 신설</t>
  </si>
  <si>
    <t>JG26-001</t>
  </si>
  <si>
    <t>(지)광명시 광명동 경륜경정총괄본부 일반용 130kW 신설</t>
  </si>
  <si>
    <t>JG26-002</t>
  </si>
  <si>
    <t>철산동 광명제1R구역주택 가로등(갑) 1kW 신설(왕일 1-4-P1)</t>
  </si>
  <si>
    <t>JG26-013</t>
  </si>
  <si>
    <t>2026년 광명지사 지중저압설비점검</t>
  </si>
  <si>
    <t>JG26-014</t>
  </si>
  <si>
    <t>철산동 (주)플러그링크 일반용(갑)저압 140kW 신설(상용/임시)</t>
  </si>
  <si>
    <t>JG26-015</t>
  </si>
  <si>
    <t>2026년 광명지사 저압접속함 점검 및 보강공사</t>
  </si>
  <si>
    <t>JG26-016</t>
  </si>
  <si>
    <t>(지)광명시 광명동 광명시장 가로등(갑) 1kw 공급지점변경</t>
  </si>
  <si>
    <t>JG26-017</t>
  </si>
  <si>
    <t>(지중)하안동 (주)플러그링크 일반용(갑)저압 21KW 신설(상용/임시)</t>
  </si>
  <si>
    <t>JG26-018</t>
  </si>
  <si>
    <t>(지중)하안동 (주)플러그링크 일반용(갑)저압 42kw 신설(상용/임시)</t>
  </si>
  <si>
    <t>JG26-019</t>
  </si>
  <si>
    <t>(지중)하안동 은광교회 일반용(갑)저압 72kw 신설(상용/임시)</t>
  </si>
  <si>
    <t>JG26-024</t>
  </si>
  <si>
    <t>(지중)하안동 광명전통문화연구회 임시전력(갑) 3kw 신설(상용/임시)</t>
  </si>
  <si>
    <t>JG26-025</t>
  </si>
  <si>
    <t>(지중)하안동 광명전통문화연구회 임시전력(갑) 3kw 신설(상용/임시)-2</t>
  </si>
  <si>
    <t>JG26-026</t>
  </si>
  <si>
    <t>(지중)철산동 광명전통문화연구회 임시전력(갑) 3kw 신설(상용/임시)</t>
  </si>
  <si>
    <t>광명동 광명시장 일반용 850kw 신설</t>
  </si>
  <si>
    <t>JY25-020</t>
  </si>
  <si>
    <t>학의동1138 의왕시청 3kw 신설</t>
  </si>
  <si>
    <t>JY25-078</t>
  </si>
  <si>
    <t>오전동32-7 오전나구역 3,250kW 신설</t>
  </si>
  <si>
    <t>JY25-096</t>
  </si>
  <si>
    <t>석수동 348 화창지구재개발정비사업조합 일반용(갑)저압 12kW 신설</t>
  </si>
  <si>
    <t>JY25-127</t>
  </si>
  <si>
    <t>2025년 안양군포의왕지사 수급지점 개폐기 조작공사</t>
  </si>
  <si>
    <t>JY25-147</t>
  </si>
  <si>
    <t>삼동580-1 의왕도시공사 800kW 신설</t>
  </si>
  <si>
    <t>JY25-149</t>
  </si>
  <si>
    <t>고천동48-13 외 2건 의왕시장 동관단자 인입접속</t>
  </si>
  <si>
    <t>내손라구역 대우건설 160kW 신설공사 (상가용)</t>
  </si>
  <si>
    <t>내손라구역 GS건설 300kW 신설 (상가용)</t>
  </si>
  <si>
    <t>JY25-188</t>
  </si>
  <si>
    <t>내손라구역 주택용 1500kW 신설 및 철거  (잠정공급설비)</t>
  </si>
  <si>
    <t>JY25-194</t>
  </si>
  <si>
    <t>관양동640-1 외 가로등 5Kw 12개소 신설</t>
  </si>
  <si>
    <t>JY25-210</t>
  </si>
  <si>
    <t>비산동305-44 한승도 저압 184kW 신설</t>
  </si>
  <si>
    <t>JY25-223</t>
  </si>
  <si>
    <t>학의동1164 (주)특수건설 50kW 신설</t>
  </si>
  <si>
    <t>JY25-224</t>
  </si>
  <si>
    <t>고천동 이규연 임시 4kW 신설</t>
  </si>
  <si>
    <t>JY25-241</t>
  </si>
  <si>
    <t>부곡동1247-6 디폰 고압 990kW 증설(첨단212-1)</t>
  </si>
  <si>
    <t>JY25-242</t>
  </si>
  <si>
    <t>고천동207-4 경기도군포의왕교육지원청 64kW 신설</t>
  </si>
  <si>
    <t>JY25-243</t>
  </si>
  <si>
    <t>안양동 200-14 SK 텔레콤 일반용(갑)저압 980kW 계약종별변경증설</t>
  </si>
  <si>
    <t>JY25-244</t>
  </si>
  <si>
    <t>호계동1167 만안교통 240kW 신설</t>
  </si>
  <si>
    <t>JY25-251</t>
  </si>
  <si>
    <t>호계동1003-8 호계1동사무 70kW 증설 외1건</t>
  </si>
  <si>
    <t>호계동553-1 평촌어반밸리 10750kW 신설</t>
  </si>
  <si>
    <t>JY25-258</t>
  </si>
  <si>
    <t>초평지구 가로등 2개소 인입접속공사</t>
  </si>
  <si>
    <t>JY26-001</t>
  </si>
  <si>
    <t>평촌동895 한국환경공단 210kW 신설</t>
  </si>
  <si>
    <t>JY26-002</t>
  </si>
  <si>
    <t>월암동543-3 의왕시 임시 70kW 신설</t>
  </si>
  <si>
    <t>JY26-003</t>
  </si>
  <si>
    <t>안양동 695-66 권용호 일반용(갑)저압 10kw 공급방식변경증설</t>
  </si>
  <si>
    <t>JY26-005</t>
  </si>
  <si>
    <t>고천동 한영수 95kw 증설</t>
  </si>
  <si>
    <t>JY26-006</t>
  </si>
  <si>
    <t>내손동 824-7 계약자불명 주택용 5KW 단순공급방식변경</t>
  </si>
  <si>
    <t>JY26-008</t>
  </si>
  <si>
    <t>관양동1726 주식회사 홍화 임시 330KW 신설</t>
  </si>
  <si>
    <t>JY26-012</t>
  </si>
  <si>
    <t>2026년 안양군포의왕지사 지중저압설비 점검 및 보강공사</t>
  </si>
  <si>
    <t>JY26-013</t>
  </si>
  <si>
    <t>고천동227-4 고천프라자 350kw 신설</t>
  </si>
  <si>
    <t>JY26-015</t>
  </si>
  <si>
    <t>오전동212-1 퍼플패치 일반용 290kW 해지후재사용</t>
  </si>
  <si>
    <t>JY26-021</t>
  </si>
  <si>
    <t>고천동227-4 어반산업개발 115kw 신설</t>
  </si>
  <si>
    <t>JY26-022</t>
  </si>
  <si>
    <t>호계동1020-3 무인교통단속장비 가로등(을) 1kw 신설</t>
  </si>
  <si>
    <t>JY26-023</t>
  </si>
  <si>
    <t>고천동 현대산업개발(주) 임시 950kw 신설</t>
  </si>
  <si>
    <t>JY26-024</t>
  </si>
  <si>
    <t>안양동674-53 김응경 일반용(갑)저압 18kw 공급지점변경</t>
  </si>
  <si>
    <t>JY26-025</t>
  </si>
  <si>
    <t>관양동501-3 경안푸드주식회사 임시 50kw 신설</t>
  </si>
  <si>
    <t>JY26-029</t>
  </si>
  <si>
    <t>호계동 165-5 (주)에스시큐리티 임시 5KW 신설</t>
  </si>
  <si>
    <t>JY26-030</t>
  </si>
  <si>
    <t>호계동1223 홍재성 주택용 40kW 계약종별변경증설</t>
  </si>
  <si>
    <t>JY26-032</t>
  </si>
  <si>
    <t>안양동 688 주식회사 미전종합건설 임시전력(을)저압 100kw 신설</t>
  </si>
  <si>
    <t>JY26-033</t>
  </si>
  <si>
    <t>내손동693-8 정은종합건설 임시 70kw 신설</t>
  </si>
  <si>
    <t>JY26-037</t>
  </si>
  <si>
    <t>2026년 지상개폐기 정기검사</t>
  </si>
  <si>
    <t>JY26-039</t>
  </si>
  <si>
    <t>평촌동984 안양시청 가로등(갑) 1kw 신설(상용/임시)</t>
  </si>
  <si>
    <t>JY26-040</t>
  </si>
  <si>
    <t>안양동 441-9 백지현 일반용(갑)저압 15kw 공급방식변경증설</t>
  </si>
  <si>
    <t>JY26-041</t>
  </si>
  <si>
    <t>비산동1111 안양시동안구청 1650kw 공급지점변경</t>
  </si>
  <si>
    <t>JY26-042</t>
  </si>
  <si>
    <t>학의동1181 리젠시빌주택 고압 200kw 신설</t>
  </si>
  <si>
    <t>JY26-046</t>
  </si>
  <si>
    <t>학의동641-5 의왕시청 저압 40kw 신설</t>
  </si>
  <si>
    <t>JY26-048</t>
  </si>
  <si>
    <t>오전동35-26 의왕가구거리협회 3kw 신설</t>
  </si>
  <si>
    <t>JY26-050</t>
  </si>
  <si>
    <t>내손동 내손라구역 저압 190kw 외 신설</t>
  </si>
  <si>
    <t>JY26-051</t>
  </si>
  <si>
    <t>관양동1385-3 ㈜한미건설 임시 20KW 신설</t>
  </si>
  <si>
    <t>JY26-052</t>
  </si>
  <si>
    <t>산본동 군포시청 가로등(을) 17KW 신설(상용/임시)</t>
  </si>
  <si>
    <t>JY26-054</t>
  </si>
  <si>
    <t>안양동 165-1 안양1동진흥아파트주택재건축정비사업조합 가로등(갑) 1kw 신설</t>
  </si>
  <si>
    <t>고천동 526-7 이인성 저압 35kw 신설</t>
  </si>
  <si>
    <t>MY25-002</t>
  </si>
  <si>
    <t>고양외고 여자기숙사 간이스프링쿨러 설치공사</t>
  </si>
  <si>
    <t>MY25-003</t>
  </si>
  <si>
    <t>병점고 기숙사 스프링쿨러 설치 소방공사</t>
  </si>
  <si>
    <t>MY25-004</t>
  </si>
  <si>
    <t>상도중 LED조명설치 전기공사</t>
  </si>
  <si>
    <t>MY26-001</t>
  </si>
  <si>
    <t>상도중학교 추가공사</t>
  </si>
  <si>
    <t>MY26-002</t>
  </si>
  <si>
    <t>시험용 접속케이블 공사</t>
  </si>
  <si>
    <t>SG25-001</t>
  </si>
  <si>
    <t>25년 불량 지상변압기 교체공사</t>
  </si>
  <si>
    <t>SG25-002</t>
  </si>
  <si>
    <t>25년 노후 지상개폐기 교체공사</t>
  </si>
  <si>
    <t>SG25-004</t>
  </si>
  <si>
    <t>25년 노후 지상변압기 교체공사</t>
  </si>
  <si>
    <t>SG25-013</t>
  </si>
  <si>
    <t>25년 노후 지상변압기 교체공사(소하21-P1외)</t>
  </si>
  <si>
    <t>SG25-021</t>
  </si>
  <si>
    <t>소하동 광명시청 지장전주 이설공사(가리간809R19R1</t>
  </si>
  <si>
    <t>SG25-029</t>
  </si>
  <si>
    <t>노온사동 포스코이앤씨 지중케이블 외상고장 복구공사</t>
  </si>
  <si>
    <t>SG26-001</t>
  </si>
  <si>
    <t>철산동 광명도시공사 신축지장 이설공사</t>
  </si>
  <si>
    <t>하안259 지상개폐기 교체공사(PT불량)</t>
  </si>
  <si>
    <t>26년 특정제원 지상개폐기 교체공사</t>
  </si>
  <si>
    <t>SG26-006</t>
  </si>
  <si>
    <t>과림간46R34L9 입상케이블 종단접속재 교체공사(돌발)</t>
  </si>
  <si>
    <t>SG26-009</t>
  </si>
  <si>
    <t>광명시 노온사동 윤용철 차량충돌 복구공사</t>
  </si>
  <si>
    <t>특정제원(이엔테크제) 지상개폐기 교체공사(하안249, 하안138-2)</t>
  </si>
  <si>
    <t>SG26-014</t>
  </si>
  <si>
    <t>9321X969 입상점 철거</t>
  </si>
  <si>
    <t>SY25-001</t>
  </si>
  <si>
    <t>9617Z138 등 불량 저압입상점 보수공사</t>
  </si>
  <si>
    <t>대농2 맨홀 내 저압접속 불량개소 보수공사</t>
  </si>
  <si>
    <t>SY25-013</t>
  </si>
  <si>
    <t>박달SW25 노후 및 파손 지상개폐기 교체공사</t>
  </si>
  <si>
    <t>SY25-015</t>
  </si>
  <si>
    <t>평촌동 934 롯데건설㈜ 지장케이블 이설</t>
  </si>
  <si>
    <t>SY25-019</t>
  </si>
  <si>
    <t>만안TR24외 26년 노후변압기선로 교체공사</t>
  </si>
  <si>
    <t>SY25-031</t>
  </si>
  <si>
    <t>안양동 190-11 지중외상 복구공사(에스제이이)</t>
  </si>
  <si>
    <t>안양동 682-3 현대건설 지중외상고장 복구공사(에스제이이)</t>
  </si>
  <si>
    <t>SY25-036</t>
  </si>
  <si>
    <t>석수동 한국토지주택공사 안양천변도로 지장전주 이설공사</t>
  </si>
  <si>
    <t>SY25-037</t>
  </si>
  <si>
    <t>2025년 번호찰 정비공사 B지역(관악지 외)</t>
  </si>
  <si>
    <t>SY26-001</t>
  </si>
  <si>
    <t>박달SW32 돌발소손 지상개폐기 교체공사(에스제이이)</t>
  </si>
  <si>
    <t>SY26-002</t>
  </si>
  <si>
    <t>부림SW53외 26년경과 노후변압기선로 교체공사</t>
  </si>
  <si>
    <t>SY26-005</t>
  </si>
  <si>
    <t>연화TR67외 26년경과 노후변압기선로 교체공사</t>
  </si>
  <si>
    <t>SY26-006</t>
  </si>
  <si>
    <t>(선)삼덕7 맨홀내 지중고장 복구공사</t>
  </si>
  <si>
    <t>SY26-007</t>
  </si>
  <si>
    <t>대농M/H4 저압케이블 소손 접속재 교체공사-SJE</t>
  </si>
  <si>
    <t>SY26-008</t>
  </si>
  <si>
    <t>(긴급)만안SW40 개폐기 열화고장 교체공사</t>
  </si>
  <si>
    <t>SY26-012</t>
  </si>
  <si>
    <t>(선)만안TR40 돌발소손 지상변압기 교체공사(에스제이이)</t>
  </si>
  <si>
    <t>SY26-014</t>
  </si>
  <si>
    <t>테크노SW11 일진제 특정제원 지상개폐기 교체외</t>
  </si>
  <si>
    <t>부림SW5 외 수명만료 노후 지중케이블 교체공사</t>
  </si>
  <si>
    <t>TY25-003</t>
  </si>
  <si>
    <t>TY25-004</t>
  </si>
  <si>
    <t>군포로 군포중 지중화공사</t>
  </si>
  <si>
    <t>TY25-005</t>
  </si>
  <si>
    <t>초평동 한국토지주택공사 지장전주공사</t>
  </si>
  <si>
    <t>TY25-006</t>
  </si>
  <si>
    <t>과천동 부림동 지중화공사</t>
  </si>
  <si>
    <t>TY25-007</t>
  </si>
  <si>
    <t>안양초 지중화</t>
  </si>
  <si>
    <t>Z합계</t>
  </si>
  <si>
    <t/>
  </si>
  <si>
    <t>JY26-043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</si>
</sst>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22" x14ac:knownFonts="1">
    <font>
      <sz val="11"/>
      <color rgb="FF000000"/>
      <name val="Calibri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000000"/>
      <name val="Calibri"/>
      <family val="3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FFFFFF"/>
      <name val="Calibri"/>
      <family val="1"/>
    </font>
    <font>
      <b/>
      <sz val="12"/>
      <color rgb="FFFFFFFF"/>
      <name val="맑은 고딕"/>
      <family val="3"/>
      <charset val="129"/>
    </font>
    <font>
      <b/>
      <sz val="12"/>
      <color rgb="FFFFFFFF"/>
      <name val="Segoe UI Symbol"/>
      <family val="1"/>
    </font>
    <font>
      <sz val="9"/>
      <color rgb="FF000000"/>
      <name val="Tahoma"/>
      <family val="2"/>
    </font>
    <font>
      <sz val="9"/>
      <color rgb="FF000000"/>
      <name val="Tahoma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</patternFill>
    </fill>
    <fill>
      <patternFill patternType="solid">
        <fgColor rgb="FFFFFFFF"/>
      </patternFill>
    </fill>
    <fill>
      <patternFill patternType="solid">
        <fgColor rgb="FFFFFFC0"/>
      </patternFill>
    </fill>
    <fill>
      <patternFill patternType="solid">
        <fgColor rgb="FFC0FFFF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5" fillId="4" borderId="0" xfId="0" applyFont="1" applyFill="1">
      <alignment vertical="center"/>
    </xf>
    <xf numFmtId="0" fontId="0" fillId="4" borderId="0" xfId="0" applyFill="1">
      <alignment vertical="center"/>
    </xf>
    <xf numFmtId="3" fontId="5" fillId="4" borderId="0" xfId="0" applyNumberFormat="1" applyFont="1" applyFill="1">
      <alignment vertical="center"/>
    </xf>
    <xf numFmtId="176" fontId="5" fillId="4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0" fillId="5" borderId="0" xfId="0" applyFill="1">
      <alignment vertical="center"/>
    </xf>
    <xf numFmtId="3" fontId="5" fillId="5" borderId="0" xfId="0" applyNumberFormat="1" applyFont="1" applyFill="1">
      <alignment vertical="center"/>
    </xf>
    <xf numFmtId="0" fontId="0" fillId="2" borderId="0" xfId="0" applyFill="1">
      <alignment vertical="center"/>
    </xf>
    <xf numFmtId="3" fontId="4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7" fillId="0" borderId="0" xfId="0" applyFont="1">
      <alignment vertical="center"/>
    </xf>
    <xf numFmtId="0" fontId="8" fillId="6" borderId="0" xfId="0" applyFont="1" applyFill="1">
      <alignment vertical="center"/>
    </xf>
    <xf numFmtId="3" fontId="8" fillId="6" borderId="0" xfId="0" applyNumberFormat="1" applyFont="1" applyFill="1">
      <alignment vertical="center"/>
    </xf>
    <xf numFmtId="0" fontId="12" fillId="0" borderId="0" xfId="0" applyFont="1">
      <alignment vertical="center"/>
    </xf>
    <xf numFmtId="0" fontId="15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7" fillId="2" borderId="0" xfId="0" applyFont="1" applyFill="1">
      <alignment vertical="center"/>
    </xf>
    <xf numFmtId="49" fontId="20" fillId="7" borderId="1" xfId="0" applyNumberFormat="1" applyFont="1" applyFill="1" applyBorder="1" applyAlignment="1">
      <alignment horizontal="center" vertical="top" wrapText="1"/>
    </xf>
    <xf numFmtId="0" fontId="20" fillId="8" borderId="2" xfId="0" applyFont="1" applyFill="1" applyBorder="1" applyAlignment="1">
      <alignment horizontal="center" vertical="top" wrapText="1"/>
    </xf>
    <xf numFmtId="49" fontId="20" fillId="8" borderId="3" xfId="0" applyNumberFormat="1" applyFont="1" applyFill="1" applyBorder="1" applyAlignment="1">
      <alignment horizontal="center" vertical="center" wrapText="1"/>
    </xf>
    <xf numFmtId="49" fontId="20" fillId="8" borderId="3" xfId="0" applyNumberFormat="1" applyFont="1" applyFill="1" applyBorder="1" applyAlignment="1">
      <alignment horizontal="left" vertical="center" wrapText="1"/>
    </xf>
    <xf numFmtId="3" fontId="20" fillId="8" borderId="3" xfId="0" applyNumberFormat="1" applyFont="1" applyFill="1" applyBorder="1" applyAlignment="1">
      <alignment horizontal="right" vertical="center" wrapText="1"/>
    </xf>
    <xf numFmtId="0" fontId="20" fillId="8" borderId="4" xfId="0" applyFont="1" applyFill="1" applyBorder="1" applyAlignment="1">
      <alignment horizontal="center" vertical="top" wrapText="1"/>
    </xf>
    <xf numFmtId="0" fontId="20" fillId="9" borderId="2" xfId="0" applyFont="1" applyFill="1" applyBorder="1" applyAlignment="1">
      <alignment horizontal="center" vertical="top" wrapText="1"/>
    </xf>
    <xf numFmtId="49" fontId="20" fillId="9" borderId="3" xfId="0" applyNumberFormat="1" applyFont="1" applyFill="1" applyBorder="1" applyAlignment="1">
      <alignment horizontal="center" vertical="center" wrapText="1"/>
    </xf>
    <xf numFmtId="49" fontId="20" fillId="9" borderId="3" xfId="0" applyNumberFormat="1" applyFont="1" applyFill="1" applyBorder="1" applyAlignment="1">
      <alignment horizontal="left" vertical="center" wrapText="1"/>
    </xf>
    <xf numFmtId="3" fontId="20" fillId="9" borderId="3" xfId="0" applyNumberFormat="1" applyFont="1" applyFill="1" applyBorder="1" applyAlignment="1">
      <alignment horizontal="right" vertical="center" wrapText="1"/>
    </xf>
    <xf numFmtId="0" fontId="20" fillId="9" borderId="4" xfId="0" applyFont="1" applyFill="1" applyBorder="1" applyAlignment="1">
      <alignment horizontal="center" vertical="top" wrapText="1"/>
    </xf>
    <xf numFmtId="0" fontId="20" fillId="9" borderId="3" xfId="0" applyFont="1" applyFill="1" applyBorder="1" applyAlignment="1">
      <alignment horizontal="left" vertical="center" wrapText="1"/>
    </xf>
    <xf numFmtId="0" fontId="20" fillId="10" borderId="2" xfId="0" applyFont="1" applyFill="1" applyBorder="1" applyAlignment="1">
      <alignment horizontal="center" vertical="top" wrapText="1"/>
    </xf>
    <xf numFmtId="49" fontId="20" fillId="10" borderId="3" xfId="0" applyNumberFormat="1" applyFont="1" applyFill="1" applyBorder="1" applyAlignment="1">
      <alignment horizontal="center" vertical="center" wrapText="1"/>
    </xf>
    <xf numFmtId="49" fontId="20" fillId="10" borderId="3" xfId="0" applyNumberFormat="1" applyFont="1" applyFill="1" applyBorder="1" applyAlignment="1">
      <alignment horizontal="left" vertical="center" wrapText="1"/>
    </xf>
    <xf numFmtId="3" fontId="20" fillId="10" borderId="3" xfId="0" applyNumberFormat="1" applyFont="1" applyFill="1" applyBorder="1" applyAlignment="1">
      <alignment horizontal="right" vertical="center" wrapText="1"/>
    </xf>
    <xf numFmtId="0" fontId="20" fillId="10" borderId="4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21" fillId="7" borderId="1" xfId="0" applyNumberFormat="1" applyFont="1" applyFill="1" applyBorder="1" applyAlignment="1">
      <alignment horizontal="center" vertical="top" wrapText="1"/>
    </xf>
  </cellXfs>
  <cellStyles count="2">
    <cellStyle name="쉼표 [0] 2" xfId="1" xr:uid="{E4EAD811-3340-4DA3-B844-C22CF40397FF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B2FCBF-F6C6-4DE6-8D01-22196E20ACF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7aeab69-dacb-4f6b-9518-5b2a070f0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721F-CABF-4395-9B06-2FFC3CB5EEB3}">
  <dimension ref="A1:P51"/>
  <sheetViews>
    <sheetView tabSelected="1" topLeftCell="A9" zoomScale="85" zoomScaleNormal="85" workbookViewId="0">
      <selection activeCell="D31" sqref="D31"/>
    </sheetView>
  </sheetViews>
  <sheetFormatPr defaultRowHeight="15" x14ac:dyDescent="0.25"/>
  <cols>
    <col min="1" max="2" width="19" customWidth="1"/>
    <col min="3" max="3" width="82.5703125" bestFit="1" customWidth="1"/>
    <col min="4" max="5" width="21" customWidth="1"/>
    <col min="6" max="6" width="15.28515625" customWidth="1"/>
  </cols>
  <sheetData>
    <row r="1" spans="1:6" ht="30" customHeight="1" x14ac:dyDescent="0.25">
      <c r="A1" s="41"/>
      <c r="B1" s="41"/>
      <c r="C1" s="41"/>
      <c r="D1" s="41"/>
      <c r="E1" s="41"/>
      <c r="F1" s="41"/>
    </row>
    <row r="2" spans="1:6" x14ac:dyDescent="0.25">
      <c r="A2" s="42" t="s">
        <v>11</v>
      </c>
      <c r="B2" s="42"/>
      <c r="C2" s="42"/>
      <c r="D2" s="42"/>
      <c r="E2" s="42"/>
      <c r="F2" s="42"/>
    </row>
    <row r="3" spans="1:6" ht="21.95" customHeight="1" x14ac:dyDescent="0.25">
      <c r="A3" s="1" t="s">
        <v>8</v>
      </c>
      <c r="B3" s="19" t="s">
        <v>45</v>
      </c>
      <c r="C3" s="1" t="s">
        <v>4</v>
      </c>
      <c r="D3" s="1" t="s">
        <v>9</v>
      </c>
      <c r="E3" s="18" t="s">
        <v>34</v>
      </c>
      <c r="F3" s="1" t="s">
        <v>10</v>
      </c>
    </row>
    <row r="4" spans="1:6" ht="16.5" x14ac:dyDescent="0.25">
      <c r="A4" s="22" t="s">
        <v>68</v>
      </c>
      <c r="B4" s="21" t="s">
        <v>60</v>
      </c>
      <c r="C4" t="s">
        <v>64</v>
      </c>
      <c r="D4" s="2">
        <v>35000000</v>
      </c>
      <c r="E4" s="2">
        <v>0</v>
      </c>
      <c r="F4" s="3">
        <f t="shared" ref="F4:F8" si="0">E4/D4</f>
        <v>0</v>
      </c>
    </row>
    <row r="5" spans="1:6" ht="16.5" x14ac:dyDescent="0.25">
      <c r="A5" s="22" t="s">
        <v>69</v>
      </c>
      <c r="B5" s="21" t="s">
        <v>60</v>
      </c>
      <c r="C5" t="s">
        <v>65</v>
      </c>
      <c r="D5" s="2">
        <v>30000000</v>
      </c>
      <c r="E5" s="2">
        <v>22881116</v>
      </c>
      <c r="F5" s="3">
        <f t="shared" si="0"/>
        <v>0.76270386666666667</v>
      </c>
    </row>
    <row r="6" spans="1:6" ht="16.5" x14ac:dyDescent="0.25">
      <c r="B6" s="21" t="s">
        <v>60</v>
      </c>
      <c r="C6" t="s">
        <v>66</v>
      </c>
      <c r="D6" s="2">
        <v>75000000</v>
      </c>
      <c r="E6" s="2">
        <v>0</v>
      </c>
      <c r="F6" s="3">
        <f t="shared" si="0"/>
        <v>0</v>
      </c>
    </row>
    <row r="7" spans="1:6" ht="16.5" x14ac:dyDescent="0.25">
      <c r="A7" s="22" t="s">
        <v>70</v>
      </c>
      <c r="B7" s="21" t="s">
        <v>60</v>
      </c>
      <c r="C7" t="s">
        <v>67</v>
      </c>
      <c r="D7" s="2">
        <v>8000000</v>
      </c>
      <c r="E7" s="2">
        <v>0</v>
      </c>
      <c r="F7" s="3">
        <f t="shared" si="0"/>
        <v>0</v>
      </c>
    </row>
    <row r="8" spans="1:6" ht="16.5" x14ac:dyDescent="0.25">
      <c r="A8" s="22" t="s">
        <v>75</v>
      </c>
      <c r="B8" s="21" t="s">
        <v>46</v>
      </c>
      <c r="C8" s="20" t="s">
        <v>74</v>
      </c>
      <c r="D8" s="2">
        <v>36994000</v>
      </c>
      <c r="E8" s="2">
        <v>10232559</v>
      </c>
      <c r="F8" s="3">
        <f t="shared" si="0"/>
        <v>0.27660050278423526</v>
      </c>
    </row>
    <row r="9" spans="1:6" ht="16.5" x14ac:dyDescent="0.25">
      <c r="A9" t="s">
        <v>1</v>
      </c>
      <c r="B9" s="21" t="s">
        <v>46</v>
      </c>
      <c r="C9" t="s">
        <v>22</v>
      </c>
      <c r="D9" s="2">
        <v>1706000</v>
      </c>
      <c r="E9" s="2">
        <v>1705938</v>
      </c>
      <c r="F9" s="3">
        <f t="shared" ref="F9:F25" si="1">E9/D9</f>
        <v>0.99996365767878082</v>
      </c>
    </row>
    <row r="10" spans="1:6" ht="16.5" x14ac:dyDescent="0.25">
      <c r="A10" t="s">
        <v>23</v>
      </c>
      <c r="B10" s="21" t="s">
        <v>46</v>
      </c>
      <c r="C10" t="s">
        <v>24</v>
      </c>
      <c r="D10" s="2">
        <v>11238000</v>
      </c>
      <c r="E10" s="2">
        <v>0</v>
      </c>
      <c r="F10" s="3">
        <f t="shared" si="1"/>
        <v>0</v>
      </c>
    </row>
    <row r="11" spans="1:6" ht="16.5" x14ac:dyDescent="0.25">
      <c r="A11" t="s">
        <v>25</v>
      </c>
      <c r="B11" s="21" t="s">
        <v>46</v>
      </c>
      <c r="C11" t="s">
        <v>26</v>
      </c>
      <c r="D11" s="2">
        <v>30190000</v>
      </c>
      <c r="E11" s="2">
        <v>0</v>
      </c>
      <c r="F11" s="3">
        <f t="shared" si="1"/>
        <v>0</v>
      </c>
    </row>
    <row r="12" spans="1:6" ht="16.5" x14ac:dyDescent="0.25">
      <c r="A12" t="s">
        <v>2</v>
      </c>
      <c r="B12" s="21" t="s">
        <v>46</v>
      </c>
      <c r="C12" t="s">
        <v>27</v>
      </c>
      <c r="D12" s="2">
        <v>5747000</v>
      </c>
      <c r="E12" s="2">
        <v>0</v>
      </c>
      <c r="F12" s="3">
        <f t="shared" si="1"/>
        <v>0</v>
      </c>
    </row>
    <row r="13" spans="1:6" ht="16.5" x14ac:dyDescent="0.25">
      <c r="A13" t="s">
        <v>3</v>
      </c>
      <c r="B13" s="21" t="s">
        <v>46</v>
      </c>
      <c r="C13" t="s">
        <v>28</v>
      </c>
      <c r="D13" s="2">
        <v>45588000</v>
      </c>
      <c r="E13" s="2">
        <v>0</v>
      </c>
      <c r="F13" s="3">
        <f t="shared" si="1"/>
        <v>0</v>
      </c>
    </row>
    <row r="14" spans="1:6" ht="16.5" x14ac:dyDescent="0.25">
      <c r="A14" t="s">
        <v>20</v>
      </c>
      <c r="B14" s="21" t="s">
        <v>46</v>
      </c>
      <c r="C14" t="s">
        <v>29</v>
      </c>
      <c r="D14" s="2">
        <v>14899000</v>
      </c>
      <c r="E14" s="2">
        <v>0</v>
      </c>
      <c r="F14" s="3">
        <f t="shared" si="1"/>
        <v>0</v>
      </c>
    </row>
    <row r="15" spans="1:6" ht="16.5" x14ac:dyDescent="0.25">
      <c r="A15" t="s">
        <v>30</v>
      </c>
      <c r="B15" s="21" t="s">
        <v>46</v>
      </c>
      <c r="C15" t="s">
        <v>31</v>
      </c>
      <c r="D15" s="2">
        <v>2459000</v>
      </c>
      <c r="E15" s="2">
        <v>2459265</v>
      </c>
      <c r="F15" s="3">
        <f t="shared" si="1"/>
        <v>1.000107767385116</v>
      </c>
    </row>
    <row r="16" spans="1:6" ht="16.5" x14ac:dyDescent="0.25">
      <c r="A16" t="s">
        <v>32</v>
      </c>
      <c r="B16" s="21" t="s">
        <v>46</v>
      </c>
      <c r="C16" t="s">
        <v>33</v>
      </c>
      <c r="D16" s="2">
        <v>1131000</v>
      </c>
      <c r="E16" s="2">
        <v>1131125</v>
      </c>
      <c r="F16" s="3">
        <f t="shared" si="1"/>
        <v>1.0001105216622459</v>
      </c>
    </row>
    <row r="17" spans="1:10" ht="16.5" x14ac:dyDescent="0.25">
      <c r="A17" t="s">
        <v>19</v>
      </c>
      <c r="B17" s="20" t="s">
        <v>47</v>
      </c>
      <c r="C17" s="17" t="s">
        <v>49</v>
      </c>
      <c r="D17" s="2">
        <v>1086000</v>
      </c>
      <c r="E17" s="2">
        <v>1629648</v>
      </c>
      <c r="F17" s="3">
        <f t="shared" si="1"/>
        <v>1.5005966850828729</v>
      </c>
    </row>
    <row r="18" spans="1:10" ht="16.5" x14ac:dyDescent="0.25">
      <c r="A18" t="s">
        <v>0</v>
      </c>
      <c r="B18" s="20" t="s">
        <v>47</v>
      </c>
      <c r="C18" s="17" t="s">
        <v>48</v>
      </c>
      <c r="D18" s="2">
        <v>2677000</v>
      </c>
      <c r="E18" s="2">
        <v>0</v>
      </c>
      <c r="F18" s="3">
        <f t="shared" si="1"/>
        <v>0</v>
      </c>
    </row>
    <row r="19" spans="1:10" ht="16.5" x14ac:dyDescent="0.25">
      <c r="A19" s="22" t="s">
        <v>51</v>
      </c>
      <c r="B19" s="20" t="s">
        <v>47</v>
      </c>
      <c r="C19" s="17" t="s">
        <v>50</v>
      </c>
      <c r="D19" s="2">
        <v>259000</v>
      </c>
      <c r="E19" s="2">
        <v>0</v>
      </c>
      <c r="F19" s="3">
        <f t="shared" si="1"/>
        <v>0</v>
      </c>
    </row>
    <row r="20" spans="1:10" ht="16.5" x14ac:dyDescent="0.25">
      <c r="A20" s="22" t="s">
        <v>53</v>
      </c>
      <c r="B20" s="20" t="s">
        <v>47</v>
      </c>
      <c r="C20" s="17" t="s">
        <v>52</v>
      </c>
      <c r="D20" s="2">
        <v>259000</v>
      </c>
      <c r="E20" s="2">
        <v>203883</v>
      </c>
      <c r="F20" s="3">
        <f t="shared" si="1"/>
        <v>0.78719305019305019</v>
      </c>
    </row>
    <row r="21" spans="1:10" ht="16.5" x14ac:dyDescent="0.25">
      <c r="A21" t="s">
        <v>72</v>
      </c>
      <c r="B21" s="20" t="s">
        <v>47</v>
      </c>
      <c r="C21" s="17" t="s">
        <v>54</v>
      </c>
      <c r="D21" s="2">
        <v>925000</v>
      </c>
      <c r="E21" s="2">
        <v>925467</v>
      </c>
      <c r="F21" s="3">
        <f t="shared" si="1"/>
        <v>1.0005048648648649</v>
      </c>
    </row>
    <row r="22" spans="1:10" ht="16.5" x14ac:dyDescent="0.25">
      <c r="A22" s="22" t="s">
        <v>55</v>
      </c>
      <c r="B22" s="20" t="s">
        <v>47</v>
      </c>
      <c r="C22" t="s">
        <v>35</v>
      </c>
      <c r="D22" s="2">
        <v>17000</v>
      </c>
      <c r="E22" s="2">
        <v>17286</v>
      </c>
      <c r="F22" s="3">
        <f t="shared" si="1"/>
        <v>1.0168235294117647</v>
      </c>
    </row>
    <row r="23" spans="1:10" ht="16.5" x14ac:dyDescent="0.25">
      <c r="A23" s="22" t="s">
        <v>56</v>
      </c>
      <c r="B23" s="20" t="s">
        <v>47</v>
      </c>
      <c r="C23" t="s">
        <v>36</v>
      </c>
      <c r="D23" s="2">
        <v>405000</v>
      </c>
      <c r="E23" s="2">
        <v>405701</v>
      </c>
      <c r="F23" s="3">
        <f t="shared" si="1"/>
        <v>1.0017308641975309</v>
      </c>
    </row>
    <row r="24" spans="1:10" ht="16.5" x14ac:dyDescent="0.25">
      <c r="A24" s="22" t="s">
        <v>57</v>
      </c>
      <c r="B24" s="20" t="s">
        <v>47</v>
      </c>
      <c r="C24" t="s">
        <v>37</v>
      </c>
      <c r="D24" s="2">
        <v>9903000</v>
      </c>
      <c r="E24" s="2">
        <v>9903715.0800000001</v>
      </c>
      <c r="F24" s="3">
        <f t="shared" si="1"/>
        <v>1.0000722084216904</v>
      </c>
    </row>
    <row r="25" spans="1:10" ht="16.5" x14ac:dyDescent="0.25">
      <c r="A25" t="s">
        <v>21</v>
      </c>
      <c r="B25" s="20" t="s">
        <v>47</v>
      </c>
      <c r="C25" t="s">
        <v>39</v>
      </c>
      <c r="D25" s="2">
        <v>1002000</v>
      </c>
      <c r="E25" s="2">
        <v>0</v>
      </c>
      <c r="F25" s="3">
        <f t="shared" si="1"/>
        <v>0</v>
      </c>
    </row>
    <row r="26" spans="1:10" ht="16.5" x14ac:dyDescent="0.25">
      <c r="A26" t="s">
        <v>7</v>
      </c>
      <c r="B26" s="20" t="s">
        <v>47</v>
      </c>
      <c r="C26" t="s">
        <v>40</v>
      </c>
      <c r="D26" s="2">
        <v>1137000</v>
      </c>
      <c r="E26" s="2">
        <v>0</v>
      </c>
      <c r="F26" s="3">
        <f>E26/D26</f>
        <v>0</v>
      </c>
    </row>
    <row r="27" spans="1:10" ht="16.5" x14ac:dyDescent="0.25">
      <c r="A27" t="s">
        <v>6</v>
      </c>
      <c r="B27" s="20" t="s">
        <v>47</v>
      </c>
      <c r="C27" t="s">
        <v>41</v>
      </c>
      <c r="D27" s="2">
        <v>395000</v>
      </c>
      <c r="E27" s="2">
        <v>0</v>
      </c>
      <c r="F27" s="3">
        <f>E27/D27</f>
        <v>0</v>
      </c>
    </row>
    <row r="28" spans="1:10" ht="16.5" x14ac:dyDescent="0.25">
      <c r="A28" t="s">
        <v>38</v>
      </c>
      <c r="B28" s="20" t="s">
        <v>47</v>
      </c>
      <c r="C28" t="s">
        <v>42</v>
      </c>
      <c r="D28" s="2">
        <v>7472000</v>
      </c>
      <c r="E28" s="2">
        <v>0</v>
      </c>
      <c r="F28" s="3">
        <f>E28/D28</f>
        <v>0</v>
      </c>
    </row>
    <row r="29" spans="1:10" ht="16.5" x14ac:dyDescent="0.25">
      <c r="A29" t="s">
        <v>5</v>
      </c>
      <c r="B29" s="20" t="s">
        <v>47</v>
      </c>
      <c r="C29" t="s">
        <v>43</v>
      </c>
      <c r="D29" s="2">
        <v>14296000</v>
      </c>
      <c r="E29" s="2">
        <v>0</v>
      </c>
      <c r="F29" s="3">
        <f>E29/D29</f>
        <v>0</v>
      </c>
      <c r="J29" s="22"/>
    </row>
    <row r="30" spans="1:10" ht="16.5" x14ac:dyDescent="0.25">
      <c r="A30" s="22" t="s">
        <v>58</v>
      </c>
      <c r="B30" s="20" t="s">
        <v>47</v>
      </c>
      <c r="C30" t="s">
        <v>44</v>
      </c>
      <c r="D30" s="2">
        <v>15102000</v>
      </c>
      <c r="E30" s="2">
        <v>0</v>
      </c>
      <c r="F30" s="3">
        <f>E30/D30</f>
        <v>0</v>
      </c>
    </row>
    <row r="31" spans="1:10" ht="16.5" x14ac:dyDescent="0.25">
      <c r="A31" t="s">
        <v>71</v>
      </c>
      <c r="B31" s="20" t="s">
        <v>73</v>
      </c>
      <c r="C31" s="17" t="s">
        <v>76</v>
      </c>
      <c r="D31" s="2">
        <v>76363000</v>
      </c>
    </row>
    <row r="32" spans="1:10" x14ac:dyDescent="0.25">
      <c r="A32" s="4" t="s">
        <v>12</v>
      </c>
      <c r="B32" s="5"/>
      <c r="C32" s="5"/>
      <c r="D32" s="6">
        <f>SUM(D4:D31)</f>
        <v>429250000</v>
      </c>
      <c r="E32" s="6">
        <f>SUM(E4:E31)</f>
        <v>51495703.079999998</v>
      </c>
      <c r="F32" s="7">
        <f>IF(D32&gt;0,E32/D32,"-")</f>
        <v>0.11996669325567851</v>
      </c>
    </row>
    <row r="34" spans="1:16" ht="16.5" customHeight="1" x14ac:dyDescent="0.25">
      <c r="A34" s="43" t="s">
        <v>13</v>
      </c>
      <c r="B34" s="43"/>
      <c r="C34" s="43"/>
      <c r="D34" s="43"/>
      <c r="E34" s="43"/>
      <c r="F34" s="43"/>
    </row>
    <row r="35" spans="1:16" ht="16.5" x14ac:dyDescent="0.25">
      <c r="A35" s="1" t="s">
        <v>8</v>
      </c>
      <c r="B35" s="19" t="s">
        <v>45</v>
      </c>
      <c r="C35" s="1" t="s">
        <v>4</v>
      </c>
      <c r="D35" s="1"/>
      <c r="E35" s="18" t="s">
        <v>34</v>
      </c>
      <c r="F35" s="1" t="s">
        <v>10</v>
      </c>
      <c r="I35" s="2"/>
      <c r="P35" s="2"/>
    </row>
    <row r="36" spans="1:16" x14ac:dyDescent="0.25">
      <c r="A36" s="22" t="s">
        <v>79</v>
      </c>
      <c r="C36" t="s">
        <v>80</v>
      </c>
      <c r="E36" s="2">
        <v>279805</v>
      </c>
    </row>
    <row r="37" spans="1:16" ht="16.5" x14ac:dyDescent="0.25">
      <c r="A37" s="22" t="s">
        <v>77</v>
      </c>
      <c r="C37" t="s">
        <v>81</v>
      </c>
      <c r="E37" s="2">
        <v>6256891</v>
      </c>
      <c r="F37" t="s">
        <v>14</v>
      </c>
    </row>
    <row r="38" spans="1:16" x14ac:dyDescent="0.25">
      <c r="A38" s="22" t="s">
        <v>78</v>
      </c>
      <c r="C38" t="s">
        <v>82</v>
      </c>
      <c r="E38" s="2">
        <v>898036</v>
      </c>
      <c r="F38" t="s">
        <v>14</v>
      </c>
    </row>
    <row r="39" spans="1:16" x14ac:dyDescent="0.25">
      <c r="A39" s="22" t="s">
        <v>93</v>
      </c>
      <c r="C39" t="s">
        <v>94</v>
      </c>
      <c r="E39" s="2">
        <v>203500</v>
      </c>
      <c r="F39" t="s">
        <v>14</v>
      </c>
    </row>
    <row r="40" spans="1:16" x14ac:dyDescent="0.25">
      <c r="E40" s="2"/>
      <c r="F40" t="s">
        <v>14</v>
      </c>
    </row>
    <row r="41" spans="1:16" x14ac:dyDescent="0.25">
      <c r="E41" s="2"/>
      <c r="F41" t="s">
        <v>14</v>
      </c>
    </row>
    <row r="42" spans="1:16" x14ac:dyDescent="0.25">
      <c r="E42" s="2"/>
      <c r="F42" t="s">
        <v>14</v>
      </c>
    </row>
    <row r="43" spans="1:16" x14ac:dyDescent="0.25">
      <c r="E43" s="2"/>
      <c r="F43" t="s">
        <v>14</v>
      </c>
    </row>
    <row r="44" spans="1:16" x14ac:dyDescent="0.25">
      <c r="E44" s="2"/>
      <c r="F44" t="s">
        <v>14</v>
      </c>
    </row>
    <row r="45" spans="1:16" x14ac:dyDescent="0.25">
      <c r="A45" s="15"/>
      <c r="B45" s="15"/>
      <c r="C45" s="15"/>
      <c r="D45" s="15"/>
      <c r="E45" s="16"/>
      <c r="F45" s="15" t="s">
        <v>14</v>
      </c>
    </row>
    <row r="46" spans="1:16" x14ac:dyDescent="0.25">
      <c r="A46" s="8" t="s">
        <v>15</v>
      </c>
      <c r="B46" s="9"/>
      <c r="C46" s="9"/>
      <c r="D46" s="8" t="s">
        <v>16</v>
      </c>
      <c r="E46" s="10">
        <f>SUM(E36:E45)</f>
        <v>7638232</v>
      </c>
      <c r="F46" s="9" t="s">
        <v>14</v>
      </c>
    </row>
    <row r="47" spans="1:16" ht="16.5" x14ac:dyDescent="0.25">
      <c r="D47" s="20" t="s">
        <v>61</v>
      </c>
      <c r="E47" s="20" t="s">
        <v>62</v>
      </c>
      <c r="F47" s="20" t="s">
        <v>63</v>
      </c>
    </row>
    <row r="48" spans="1:16" ht="17.25" x14ac:dyDescent="0.25">
      <c r="A48" s="23" t="s">
        <v>59</v>
      </c>
      <c r="B48" s="11"/>
      <c r="C48" s="11"/>
      <c r="D48" s="12">
        <f>D32</f>
        <v>429250000</v>
      </c>
      <c r="E48" s="12">
        <f>E32+E46</f>
        <v>59133935.079999998</v>
      </c>
      <c r="F48" s="13">
        <f>E48/D48</f>
        <v>0.13776106017472334</v>
      </c>
    </row>
    <row r="50" spans="1:1" x14ac:dyDescent="0.25">
      <c r="A50" s="14" t="s">
        <v>17</v>
      </c>
    </row>
    <row r="51" spans="1:1" x14ac:dyDescent="0.25">
      <c r="A51" s="14" t="s">
        <v>18</v>
      </c>
    </row>
  </sheetData>
  <mergeCells count="3">
    <mergeCell ref="A1:F1"/>
    <mergeCell ref="A2:F2"/>
    <mergeCell ref="A34:F3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8598-A375-43C3-B69D-90DF5275F387}">
  <dimension ref="A1:C343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</v>
      </c>
      <c r="B195" s="27" t="s">
        <v>207</v>
      </c>
      <c r="C195" s="28">
        <v>1629647.99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208</v>
      </c>
      <c r="B198" s="32" t="s">
        <v>209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210</v>
      </c>
      <c r="B201" s="27" t="s">
        <v>211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212</v>
      </c>
      <c r="B204" s="32" t="s">
        <v>213</v>
      </c>
      <c r="C204" s="33">
        <v>6256891.4800000004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214</v>
      </c>
      <c r="B207" s="27" t="s">
        <v>215</v>
      </c>
      <c r="C207" s="28">
        <v>17285.71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216</v>
      </c>
      <c r="B210" s="32" t="s">
        <v>217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33.75" x14ac:dyDescent="0.25">
      <c r="A213" s="26" t="s">
        <v>218</v>
      </c>
      <c r="B213" s="27" t="s">
        <v>219</v>
      </c>
      <c r="C213" s="28">
        <v>203883.27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72</v>
      </c>
      <c r="B216" s="32" t="s">
        <v>220</v>
      </c>
      <c r="C216" s="33">
        <v>925466.57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221</v>
      </c>
      <c r="B219" s="27" t="s">
        <v>222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223</v>
      </c>
      <c r="B222" s="32" t="s">
        <v>224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225</v>
      </c>
      <c r="B225" s="27" t="s">
        <v>226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227</v>
      </c>
      <c r="B228" s="32" t="s">
        <v>228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229</v>
      </c>
      <c r="B231" s="27" t="s">
        <v>230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231</v>
      </c>
      <c r="B234" s="32" t="s">
        <v>232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233</v>
      </c>
      <c r="B237" s="27" t="s">
        <v>234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235</v>
      </c>
      <c r="B240" s="32" t="s">
        <v>236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237</v>
      </c>
      <c r="B243" s="27" t="s">
        <v>238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239</v>
      </c>
      <c r="B246" s="32" t="s">
        <v>240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241</v>
      </c>
      <c r="B249" s="27" t="s">
        <v>242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243</v>
      </c>
      <c r="B252" s="32" t="s">
        <v>244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32</v>
      </c>
      <c r="B255" s="27" t="s">
        <v>245</v>
      </c>
      <c r="C255" s="28">
        <v>1131124.74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20</v>
      </c>
      <c r="B258" s="32" t="s">
        <v>246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247</v>
      </c>
      <c r="B261" s="27" t="s">
        <v>248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249</v>
      </c>
      <c r="B264" s="32" t="s">
        <v>250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30</v>
      </c>
      <c r="B267" s="27" t="s">
        <v>251</v>
      </c>
      <c r="C267" s="28">
        <v>2459264.77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252</v>
      </c>
      <c r="B270" s="32" t="s">
        <v>253</v>
      </c>
      <c r="C270" s="33">
        <v>279805.15999999997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254</v>
      </c>
      <c r="B273" s="27" t="s">
        <v>255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1</v>
      </c>
      <c r="B276" s="32" t="s">
        <v>256</v>
      </c>
      <c r="C276" s="33">
        <v>1705937.66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257</v>
      </c>
      <c r="B279" s="27" t="s">
        <v>258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259</v>
      </c>
      <c r="B282" s="32" t="s">
        <v>260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261</v>
      </c>
      <c r="B285" s="27" t="s">
        <v>262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263</v>
      </c>
      <c r="B288" s="32" t="s">
        <v>264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</v>
      </c>
      <c r="B291" s="27" t="s">
        <v>265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266</v>
      </c>
      <c r="B294" s="32" t="s">
        <v>267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268</v>
      </c>
      <c r="B297" s="27" t="s">
        <v>269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270</v>
      </c>
      <c r="B300" s="32" t="s">
        <v>271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272</v>
      </c>
      <c r="B303" s="27" t="s">
        <v>273</v>
      </c>
      <c r="C303" s="28">
        <v>10232558.859999999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274</v>
      </c>
      <c r="B306" s="32" t="s">
        <v>275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276</v>
      </c>
      <c r="B309" s="27" t="s">
        <v>277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278</v>
      </c>
      <c r="B312" s="32" t="s">
        <v>279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280</v>
      </c>
      <c r="B315" s="27" t="s">
        <v>281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282</v>
      </c>
      <c r="B318" s="32" t="s">
        <v>283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284</v>
      </c>
      <c r="B321" s="27" t="s">
        <v>285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3</v>
      </c>
      <c r="B324" s="32" t="s">
        <v>286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x14ac:dyDescent="0.25">
      <c r="A327" s="26" t="s">
        <v>287</v>
      </c>
      <c r="B327" s="27" t="s">
        <v>64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288</v>
      </c>
      <c r="B330" s="32" t="s">
        <v>289</v>
      </c>
      <c r="C330" s="33">
        <v>17782606.559999999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290</v>
      </c>
      <c r="B333" s="27" t="s">
        <v>291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292</v>
      </c>
      <c r="B336" s="32" t="s">
        <v>293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294</v>
      </c>
      <c r="B339" s="27" t="s">
        <v>295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6"/>
      <c r="B341" s="36"/>
      <c r="C341" s="36"/>
    </row>
    <row r="342" spans="1:3" x14ac:dyDescent="0.25">
      <c r="A342" s="37" t="s">
        <v>296</v>
      </c>
      <c r="B342" s="38" t="s">
        <v>297</v>
      </c>
      <c r="C342" s="39">
        <v>44131709.759999998</v>
      </c>
    </row>
    <row r="343" spans="1:3" x14ac:dyDescent="0.25">
      <c r="A343" s="40"/>
      <c r="B343" s="40"/>
      <c r="C343" s="4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A4D7-2E10-440F-B03E-5357A26588F6}">
  <dimension ref="A1:C34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17782606.559999999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54035424.840000004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6월 공정현황</vt:lpstr>
      <vt:lpstr>6월 8일</vt:lpstr>
      <vt:lpstr>6월 9일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성현 조</cp:lastModifiedBy>
  <dcterms:modified xsi:type="dcterms:W3CDTF">2026-06-09T00:03:48Z</dcterms:modified>
</cp:coreProperties>
</file>