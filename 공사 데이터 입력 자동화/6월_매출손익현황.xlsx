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563C8F8C-FA1F-4294-A60C-1AA9D0B9F46D}" xr6:coauthVersionLast="47" xr6:coauthVersionMax="47" xr10:uidLastSave="{00000000-0000-0000-0000-000000000000}"/>
  <bookViews>
    <workbookView xWindow="29745" yWindow="180" windowWidth="22620" windowHeight="15090" xr2:uid="{00000000-000D-0000-FFFF-FFFF00000000}"/>
  </bookViews>
  <sheets>
    <sheet name="6월 공정현황" sheetId="2" r:id="rId1"/>
    <sheet name="6월 17일" sheetId="9" r:id="rId2"/>
    <sheet name="6월 15일" sheetId="8" r:id="rId3"/>
    <sheet name="6월 8일" sheetId="3" r:id="rId4"/>
    <sheet name="6월 9일" sheetId="4" r:id="rId5"/>
    <sheet name="6월 10일" sheetId="5" r:id="rId6"/>
    <sheet name="6월 11일" sheetId="6" r:id="rId7"/>
    <sheet name="6월 12일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<sst xmlns="http://schemas.openxmlformats.org/spreadsheetml/2006/main" count="1785" uniqueCount="315">
  <si>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</si>
  <si>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</si>
  <si>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</si>
  <si>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</si>
  <si>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</si>
  <si>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</si>
  <si>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</si>
  <si>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</si>
  <si>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</si>
  <si>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</si>
  <si>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</si>
  <si>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</si>
  <si>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</si>
  <si>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</si>
  <si>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</si>
  <si>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</si>
  <si>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</si>
  <si>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</si>
  <si>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</si>
  <si>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</si>
  <si>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</si>
  <si>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</si>
  <si>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</si>
  <si>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</si>
  <si>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</si>
  <si>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</si>
  <si>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</si>
  <si>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</si>
  <si>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</si>
  <si>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</si>
  <si>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</si>
  <si>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</si>
  <si>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</si>
  <si>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</si>
  <si>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</si>
  <si>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</si>
  <si>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</si>
  <si>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</si>
  <si>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</si>
  <si>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</si>
  <si>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</si>
  <si>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</si>
  <si>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</si>
  <si>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</si>
  <si>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</si>
  <si>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</si>
  <si>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</si>
  <si>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</si>
  <si>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</si>
  <si>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</si>
  <si>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</si>
  <si>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</si>
  <si>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</si>
  <si>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</si>
  <si>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</si>
  <si>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</si>
  <si>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</si>
  <si>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</si>
  <si>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</si>
  <si>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</si>
  <si>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</si>
  <si>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</si>
  <si>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</si>
  <si>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</si>
  <si>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</si>
  <si>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</si>
  <si>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</si>
  <si>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</si>
  <si>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</si>
  <si>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</si>
  <si>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</si>
  <si>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</si>
  <si>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</si>
  <si>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</si>
  <si>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</si>
  <si>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</si>
  <si>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</si>
  <si>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</si>
  <si>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</si>
  <si>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</si>
  <si>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</si>
  <si>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</si>
  <si>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</si>
  <si>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</si>
  <si>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</si>
  <si>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</si>
  <si>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</si>
  <si>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</si>
  <si>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</si>
  <si>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</si>
  <si>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</si>
  <si>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</si>
  <si>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</si>
  <si>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</si>
  <si>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</si>
  <si>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</si>
  <si>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</si>
  <si>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</si>
  <si>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</si>
  <si>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</si>
  <si>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</si>
  <si>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</si>
  <si>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</si>
  <si>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</si>
  <si>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</si>
  <si>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</si>
  <si>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</si>
  <si>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</si>
  <si>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</si>
  <si>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</si>
  <si>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</si>
  <si>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</si>
  <si>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</si>
  <si>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</si>
  <si>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</si>
  <si>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</si>
  <si>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</si>
  <si>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</si>
  <si>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</si>
  <si>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</si>
  <si>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</si>
  <si>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</si>
  <si>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</si>
  <si>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</si>
  <si>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</si>
  <si>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</si>
  <si>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</si>
  <si>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</si>
  <si>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</si>
  <si>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</si>
  <si>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</si>
  <si>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</si>
  <si>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</si>
  <si>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</si>
  <si>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</si>
  <si>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</si>
  <si>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</si>
  <si>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</si>
  <si>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</si>
  <si>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</si>
  <si>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</si>
  <si>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</si>
  <si>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</si>
  <si>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</si>
  <si>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</si>
  <si>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</si>
  <si>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</si>
  <si>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</si>
  <si>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</si>
  <si>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</si>
  <si>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</si>
  <si>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</si>
  <si>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</si>
  <si>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</si>
  <si>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</si>
  <si>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</si>
  <si>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</si>
  <si>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</si>
  <si>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</si>
  <si>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</si>
  <si>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</si>
  <si>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</si>
  <si>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</si>
  <si>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</si>
  <si>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</si>
  <si>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</si>
  <si>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</si>
  <si>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</si>
  <si>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</si>
  <si>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</si>
  <si>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</si>
  <si>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</si>
  <si>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</si>
  <si>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</si>
  <si>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</si>
  <si>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</si>
  <si>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</si>
  <si>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</si>
  <si>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</si>
  <si>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</si>
  <si>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</si>
  <si>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</si>
  <si>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</si>
  <si>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</si>
  <si>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</si>
  <si>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</si>
  <si>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</si>
  <si>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</si>
  <si>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</si>
  <si>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</si>
  <si>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</si>
  <si>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</si>
  <si>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</si>
  <si>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</si>
  <si>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</si>
  <si>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</si>
  <si>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</si>
  <si>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</si>
  <si>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</si>
  <si>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</si>
  <si>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</si>
  <si>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</si>
  <si>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</si>
  <si>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</si>
  <si>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</si>
  <si>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</si>
  <si>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</si>
  <si>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</si>
  <si>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</si>
  <si>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</si>
  <si>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</si>
  <si>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</si>
  <si>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</si>
  <si>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</si>
  <si>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</si>
  <si>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</si>
  <si>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</si>
  <si>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</si>
  <si>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</si>
  <si>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</si>
  <si>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</si>
  <si>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</si>
  <si>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</si>
  <si>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</si>
  <si>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</si>
  <si>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</si>
  <si>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</si>
  <si>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</si>
  <si>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</si>
  <si>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</si>
  <si>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</si>
  <si>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</si>
  <si>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</si>
  <si>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</si>
  <si>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</si>
  <si>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</si>
  <si>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</si>
  <si>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</si>
  <si>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</si>
  <si>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</si>
  <si>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</si>
  <si>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</si>
  <si>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</si>
  <si>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</si>
  <si>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</si>
  <si>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</si>
  <si>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</si>
  <si>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</si>
  <si>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</si>
  <si>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</si>
  <si>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</si>
  <si>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</si>
  <si>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</si>
  <si>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</si>
  <si>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</si>
  <si>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</si>
  <si>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</si>
  <si>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</si>
  <si>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</si>
  <si>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</si>
  <si>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</si>
  <si>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</si>
  <si>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</si>
  <si>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</si>
  <si>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</si>
  <si>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</si>
  <si>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</si>
  <si>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</si>
  <si>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</si>
  <si>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</si>
  <si>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</si>
  <si>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</si>
  <si>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</si>
  <si>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</si>
  <si>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</si>
  <si>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</si>
  <si>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</si>
  <si>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</si>
  <si>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</si>
  <si>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</si>
  <si>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</si>
  <si>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</si>
  <si>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</si>
  <si>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</si>
  <si>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</si>
  <si>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</si>
  <si>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</si>
  <si>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</si>
  <si>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</si>
  <si>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</si>
  <si>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</si>
  <si>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</si>
  <si>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</si>
  <si>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</si>
  <si>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</si>
  <si>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</si>
  <si>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</si>
  <si>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</si>
  <si>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</si>
  <si>
    <t>JY26-059</t>
  </si>
  <si>
    <t>고천동528 박희상 저압 신설</t>
  </si>
  <si>
    <t>JY26-066</t>
  </si>
  <si>
    <t>초평동622-2 이원섭 저압 신설</t>
  </si>
  <si>
    <t>JY25-260</t>
  </si>
  <si>
    <t>안양동 413-1 (주)대영플러스 일반용(갑)저압 120Kw 신설 외 1</t>
  </si>
  <si>
    <t>CG26-002</t>
  </si>
  <si>
    <t>배전선로 복구공사(SW043~TR043-2)</t>
  </si>
  <si>
    <t>CG26-003</t>
  </si>
  <si>
    <t>일직동 511-2(신아에이앤아이 저압 30KW) 전기공급공사</t>
  </si>
  <si>
    <t>CG26-004</t>
  </si>
  <si>
    <t>소하동 1389-2(광명시청 저압 3W) 수급지점변경 전기공급공사</t>
  </si>
  <si>
    <t>JG26-020</t>
  </si>
  <si>
    <t>하안동 서정우 일반용(을) 고압A 10KW 계약단위분할</t>
  </si>
  <si>
    <t>JG26-023</t>
  </si>
  <si>
    <t>(지중)하안동 샤브향기(주) 일반용(갑)저압 88kW 증설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</si>
</sst>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3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49" fontId="21" fillId="7" borderId="1" xfId="0" applyNumberFormat="1" applyFont="1" applyFill="1" applyBorder="1" applyAlignment="1">
      <alignment horizontal="center" vertical="top" wrapText="1"/>
    </xf>
    <xf numFmtId="49" fontId="22" fillId="7" borderId="1" xfId="0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20" fillId="8" borderId="3" xfId="0" applyFont="1" applyFill="1" applyBorder="1" applyAlignment="1">
      <alignment horizontal="left" vertical="center" wrapText="1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zoomScale="85" zoomScaleNormal="85" workbookViewId="0">
      <selection activeCell="F48" sqref="A2:F48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3"/>
      <c r="B1" s="43"/>
      <c r="C1" s="43"/>
      <c r="D1" s="43"/>
      <c r="E1" s="43"/>
      <c r="F1" s="43"/>
    </row>
    <row r="2" spans="1:6" x14ac:dyDescent="0.25">
      <c r="A2" s="44" t="s">
        <v>11</v>
      </c>
      <c r="B2" s="44"/>
      <c r="C2" s="44"/>
      <c r="D2" s="44"/>
      <c r="E2" s="44"/>
      <c r="F2" s="44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37306167.600000001</v>
      </c>
      <c r="F5" s="3">
        <f t="shared" si="0"/>
        <v>1.24353892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14955278.33</v>
      </c>
      <c r="F8" s="3">
        <f t="shared" si="0"/>
        <v>0.40426226766502676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1705937.66</v>
      </c>
      <c r="F9" s="3">
        <f t="shared" ref="F9:F25" si="1">E9/D9</f>
        <v>0.99996345838218048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42421920.210000001</v>
      </c>
      <c r="F13" s="3">
        <f t="shared" si="1"/>
        <v>0.93055014938141623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2459264.77</v>
      </c>
      <c r="F15" s="3">
        <f t="shared" si="1"/>
        <v>1.000107673851159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1131124.74</v>
      </c>
      <c r="F16" s="3">
        <f t="shared" si="1"/>
        <v>1.0001102917771882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1629647.99</v>
      </c>
      <c r="F17" s="3">
        <f t="shared" si="1"/>
        <v>1.5005966758747697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203883.27</v>
      </c>
      <c r="F20" s="3">
        <f t="shared" si="1"/>
        <v>0.78719409266409257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925466.57</v>
      </c>
      <c r="F21" s="3">
        <f t="shared" si="1"/>
        <v>1.0005043999999998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17285.71</v>
      </c>
      <c r="F22" s="3">
        <f t="shared" si="1"/>
        <v>1.0168064705882351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405701.07</v>
      </c>
      <c r="F23" s="3">
        <f t="shared" si="1"/>
        <v>1.0017310370370371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1575342.96</v>
      </c>
      <c r="F25" s="3">
        <f t="shared" si="1"/>
        <v>1.5721985628742514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1137419.8</v>
      </c>
      <c r="F26" s="3">
        <f>E26/D26</f>
        <v>1.0003692172383465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395368.8</v>
      </c>
      <c r="F27" s="3">
        <f>E27/D27</f>
        <v>1.0009336708860759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7472742</v>
      </c>
      <c r="F28" s="3">
        <f>E28/D28</f>
        <v>1.0000993040685224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0</v>
      </c>
      <c r="F30" s="3">
        <f>E30/D30</f>
        <v>0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123646266.55999994</v>
      </c>
      <c r="F32" s="7">
        <f>IF(D32&gt;0,E32/D32,"-")</f>
        <v>0.28805187317414083</v>
      </c>
    </row>
    <row r="34" spans="1:16" ht="16.5" customHeight="1" x14ac:dyDescent="0.25">
      <c r="A34" s="45" t="s">
        <v>13</v>
      </c>
      <c r="B34" s="45"/>
      <c r="C34" s="45"/>
      <c r="D34" s="45"/>
      <c r="E34" s="45"/>
      <c r="F34" s="45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235497.52</v>
      </c>
    </row>
    <row r="37" spans="1:16" ht="16.5" x14ac:dyDescent="0.25">
      <c r="A37" s="22" t="s">
        <v>77</v>
      </c>
      <c r="C37" t="s">
        <v>81</v>
      </c>
      <c r="E37" s="2">
        <v>6256891.4800000004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898035.92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A40" s="22" t="s">
        <v>299</v>
      </c>
      <c r="C40" t="s">
        <v>300</v>
      </c>
      <c r="E40" s="2">
        <v>507687.92</v>
      </c>
      <c r="F40" t="s">
        <v>14</v>
      </c>
    </row>
    <row r="41" spans="1:16" x14ac:dyDescent="0.25">
      <c r="A41" s="22" t="s">
        <v>301</v>
      </c>
      <c r="C41" t="s">
        <v>302</v>
      </c>
      <c r="E41" s="2">
        <v>835486.55</v>
      </c>
      <c r="F41" t="s">
        <v>14</v>
      </c>
    </row>
    <row r="42" spans="1:16" x14ac:dyDescent="0.25">
      <c r="A42" s="22" t="s">
        <v>311</v>
      </c>
      <c r="C42" t="s">
        <v>312</v>
      </c>
      <c r="E42" s="2">
        <v>2560247.4</v>
      </c>
      <c r="F42" t="s">
        <v>14</v>
      </c>
    </row>
    <row r="43" spans="1:16" x14ac:dyDescent="0.25">
      <c r="A43" s="22" t="s">
        <v>313</v>
      </c>
      <c r="C43" t="s">
        <v>314</v>
      </c>
      <c r="E43" s="2">
        <v>1407068.44</v>
      </c>
      <c r="F43" t="s">
        <v>14</v>
      </c>
    </row>
    <row r="44" spans="1:16" x14ac:dyDescent="0.25">
      <c r="E44" s="2"/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12904415.23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136550681.78999993</v>
      </c>
      <c r="F48" s="13">
        <f>E48/D48</f>
        <v>0.31811457609784494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162BD-A1EE-4E02-A97F-F6E2F6307379}">
  <dimension ref="A1:C370"/>
  <sheetViews>
    <sheetView workbookViewId="0">
      <selection activeCell="E10" sqref="E10:E11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2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305</v>
      </c>
      <c r="B6" s="32" t="s">
        <v>306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307</v>
      </c>
      <c r="B9" s="27" t="s">
        <v>308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309</v>
      </c>
      <c r="B12" s="32" t="s">
        <v>310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87</v>
      </c>
      <c r="B15" s="27" t="s">
        <v>88</v>
      </c>
      <c r="C15" s="28">
        <v>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ht="22.5" x14ac:dyDescent="0.25">
      <c r="A18" s="31" t="s">
        <v>89</v>
      </c>
      <c r="B18" s="32" t="s">
        <v>90</v>
      </c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91</v>
      </c>
      <c r="B21" s="27" t="s">
        <v>92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93</v>
      </c>
      <c r="B24" s="32" t="s">
        <v>94</v>
      </c>
      <c r="C24" s="33">
        <v>203500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x14ac:dyDescent="0.25">
      <c r="A27" s="26" t="s">
        <v>95</v>
      </c>
      <c r="B27" s="46"/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96</v>
      </c>
      <c r="B30" s="32" t="s">
        <v>97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ht="22.5" x14ac:dyDescent="0.25">
      <c r="A33" s="26" t="s">
        <v>98</v>
      </c>
      <c r="B33" s="27" t="s">
        <v>99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100</v>
      </c>
      <c r="B36" s="32" t="s">
        <v>101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102</v>
      </c>
      <c r="B39" s="27" t="s">
        <v>103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x14ac:dyDescent="0.25">
      <c r="A42" s="31" t="s">
        <v>104</v>
      </c>
      <c r="B42" s="32" t="s">
        <v>105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106</v>
      </c>
      <c r="B45" s="27" t="s">
        <v>107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108</v>
      </c>
      <c r="B48" s="32" t="s">
        <v>109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110</v>
      </c>
      <c r="B51" s="27" t="s">
        <v>111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112</v>
      </c>
      <c r="B54" s="32" t="s">
        <v>113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22.5" x14ac:dyDescent="0.25">
      <c r="A57" s="26" t="s">
        <v>114</v>
      </c>
      <c r="B57" s="27" t="s">
        <v>115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116</v>
      </c>
      <c r="B60" s="32" t="s">
        <v>117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311</v>
      </c>
      <c r="B63" s="27" t="s">
        <v>312</v>
      </c>
      <c r="C63" s="28">
        <v>2560247.4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ht="22.5" x14ac:dyDescent="0.25">
      <c r="A66" s="31" t="s">
        <v>313</v>
      </c>
      <c r="B66" s="32" t="s">
        <v>314</v>
      </c>
      <c r="C66" s="33">
        <v>1407068.44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118</v>
      </c>
      <c r="B69" s="27" t="s">
        <v>119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33.75" x14ac:dyDescent="0.25">
      <c r="A72" s="31" t="s">
        <v>120</v>
      </c>
      <c r="B72" s="32" t="s">
        <v>121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122</v>
      </c>
      <c r="B75" s="27" t="s">
        <v>123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21</v>
      </c>
      <c r="B78" s="32" t="s">
        <v>124</v>
      </c>
      <c r="C78" s="33">
        <v>1575342.96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x14ac:dyDescent="0.25">
      <c r="A81" s="26" t="s">
        <v>125</v>
      </c>
      <c r="B81" s="27" t="s">
        <v>126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127</v>
      </c>
      <c r="B84" s="32" t="s">
        <v>128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129</v>
      </c>
      <c r="B87" s="27" t="s">
        <v>130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131</v>
      </c>
      <c r="B90" s="32" t="s">
        <v>132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133</v>
      </c>
      <c r="B93" s="27" t="s">
        <v>134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135</v>
      </c>
      <c r="B96" s="32" t="s">
        <v>136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6</v>
      </c>
      <c r="B99" s="27" t="s">
        <v>137</v>
      </c>
      <c r="C99" s="28">
        <v>395368.8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ht="22.5" x14ac:dyDescent="0.25">
      <c r="A102" s="31" t="s">
        <v>7</v>
      </c>
      <c r="B102" s="32" t="s">
        <v>138</v>
      </c>
      <c r="C102" s="33">
        <v>1137419.8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139</v>
      </c>
      <c r="B105" s="27" t="s">
        <v>140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141</v>
      </c>
      <c r="B108" s="32" t="s">
        <v>142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143</v>
      </c>
      <c r="B111" s="27" t="s">
        <v>144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ht="22.5" x14ac:dyDescent="0.25">
      <c r="A114" s="31" t="s">
        <v>145</v>
      </c>
      <c r="B114" s="32" t="s">
        <v>146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x14ac:dyDescent="0.25">
      <c r="A117" s="26" t="s">
        <v>147</v>
      </c>
      <c r="B117" s="27" t="s">
        <v>148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149</v>
      </c>
      <c r="B120" s="32" t="s">
        <v>150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151</v>
      </c>
      <c r="B123" s="27" t="s">
        <v>152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153</v>
      </c>
      <c r="B126" s="32" t="s">
        <v>154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x14ac:dyDescent="0.25">
      <c r="A129" s="26" t="s">
        <v>155</v>
      </c>
      <c r="B129" s="27" t="s">
        <v>156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157</v>
      </c>
      <c r="B132" s="32" t="s">
        <v>158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0</v>
      </c>
      <c r="B135" s="27" t="s">
        <v>159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160</v>
      </c>
      <c r="B138" s="32" t="s">
        <v>161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303</v>
      </c>
      <c r="B141" s="27" t="s">
        <v>304</v>
      </c>
      <c r="C141" s="28">
        <v>7472742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162</v>
      </c>
      <c r="B144" s="32" t="s">
        <v>163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164</v>
      </c>
      <c r="B147" s="27" t="s">
        <v>165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166</v>
      </c>
      <c r="B150" s="32" t="s">
        <v>167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x14ac:dyDescent="0.25">
      <c r="A153" s="26" t="s">
        <v>168</v>
      </c>
      <c r="B153" s="27" t="s">
        <v>169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170</v>
      </c>
      <c r="B156" s="32" t="s">
        <v>171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172</v>
      </c>
      <c r="B159" s="27" t="s">
        <v>173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174</v>
      </c>
      <c r="B162" s="32" t="s">
        <v>175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176</v>
      </c>
      <c r="B165" s="27" t="s">
        <v>177</v>
      </c>
      <c r="C165" s="28">
        <v>898035.92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178</v>
      </c>
      <c r="B168" s="32" t="s">
        <v>179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180</v>
      </c>
      <c r="B171" s="27" t="s">
        <v>181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182</v>
      </c>
      <c r="B174" s="32" t="s">
        <v>183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184</v>
      </c>
      <c r="B177" s="27" t="s">
        <v>185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186</v>
      </c>
      <c r="B180" s="32" t="s">
        <v>187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188</v>
      </c>
      <c r="B183" s="27" t="s">
        <v>189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190</v>
      </c>
      <c r="B186" s="32" t="s">
        <v>191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192</v>
      </c>
      <c r="B189" s="27" t="s">
        <v>193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194</v>
      </c>
      <c r="B192" s="32" t="s">
        <v>195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196</v>
      </c>
      <c r="B195" s="27" t="s">
        <v>197</v>
      </c>
      <c r="C195" s="28">
        <v>0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x14ac:dyDescent="0.25">
      <c r="A198" s="31" t="s">
        <v>198</v>
      </c>
      <c r="B198" s="32" t="s">
        <v>199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200</v>
      </c>
      <c r="B201" s="27" t="s">
        <v>201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202</v>
      </c>
      <c r="B204" s="32" t="s">
        <v>203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204</v>
      </c>
      <c r="B207" s="27" t="s">
        <v>205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206</v>
      </c>
      <c r="B210" s="32" t="s">
        <v>36</v>
      </c>
      <c r="C210" s="33">
        <v>405701.07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298</v>
      </c>
      <c r="B213" s="27" t="s">
        <v>37</v>
      </c>
      <c r="C213" s="28">
        <v>9903715.0800000001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19</v>
      </c>
      <c r="B216" s="32" t="s">
        <v>207</v>
      </c>
      <c r="C216" s="33">
        <v>1629647.99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208</v>
      </c>
      <c r="B219" s="27" t="s">
        <v>209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210</v>
      </c>
      <c r="B222" s="32" t="s">
        <v>211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212</v>
      </c>
      <c r="B225" s="27" t="s">
        <v>213</v>
      </c>
      <c r="C225" s="28">
        <v>6256891.4800000004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214</v>
      </c>
      <c r="B228" s="32" t="s">
        <v>215</v>
      </c>
      <c r="C228" s="33">
        <v>17285.71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216</v>
      </c>
      <c r="B231" s="27" t="s">
        <v>217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33.75" x14ac:dyDescent="0.25">
      <c r="A234" s="31" t="s">
        <v>218</v>
      </c>
      <c r="B234" s="32" t="s">
        <v>219</v>
      </c>
      <c r="C234" s="33">
        <v>203883.27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ht="22.5" x14ac:dyDescent="0.25">
      <c r="A237" s="26" t="s">
        <v>72</v>
      </c>
      <c r="B237" s="27" t="s">
        <v>220</v>
      </c>
      <c r="C237" s="28">
        <v>925466.57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299</v>
      </c>
      <c r="B240" s="32" t="s">
        <v>300</v>
      </c>
      <c r="C240" s="33">
        <v>507687.92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301</v>
      </c>
      <c r="B243" s="27" t="s">
        <v>302</v>
      </c>
      <c r="C243" s="28">
        <v>835486.55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221</v>
      </c>
      <c r="B246" s="32" t="s">
        <v>222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223</v>
      </c>
      <c r="B249" s="27" t="s">
        <v>224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225</v>
      </c>
      <c r="B252" s="32" t="s">
        <v>226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x14ac:dyDescent="0.25">
      <c r="A255" s="26" t="s">
        <v>227</v>
      </c>
      <c r="B255" s="27" t="s">
        <v>228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229</v>
      </c>
      <c r="B258" s="32" t="s">
        <v>230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231</v>
      </c>
      <c r="B261" s="27" t="s">
        <v>232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x14ac:dyDescent="0.25">
      <c r="A264" s="31" t="s">
        <v>233</v>
      </c>
      <c r="B264" s="32" t="s">
        <v>234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235</v>
      </c>
      <c r="B267" s="27" t="s">
        <v>236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237</v>
      </c>
      <c r="B270" s="32" t="s">
        <v>238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239</v>
      </c>
      <c r="B273" s="27" t="s">
        <v>240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241</v>
      </c>
      <c r="B276" s="32" t="s">
        <v>242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243</v>
      </c>
      <c r="B279" s="27" t="s">
        <v>244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32</v>
      </c>
      <c r="B282" s="32" t="s">
        <v>245</v>
      </c>
      <c r="C282" s="33">
        <v>1131124.74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x14ac:dyDescent="0.25">
      <c r="A285" s="26" t="s">
        <v>20</v>
      </c>
      <c r="B285" s="27" t="s">
        <v>246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247</v>
      </c>
      <c r="B288" s="32" t="s">
        <v>248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249</v>
      </c>
      <c r="B291" s="27" t="s">
        <v>250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30</v>
      </c>
      <c r="B294" s="32" t="s">
        <v>251</v>
      </c>
      <c r="C294" s="33">
        <v>2459264.77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x14ac:dyDescent="0.25">
      <c r="A297" s="26" t="s">
        <v>252</v>
      </c>
      <c r="B297" s="27" t="s">
        <v>253</v>
      </c>
      <c r="C297" s="28">
        <v>235497.52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254</v>
      </c>
      <c r="B300" s="32" t="s">
        <v>255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1</v>
      </c>
      <c r="B303" s="27" t="s">
        <v>256</v>
      </c>
      <c r="C303" s="28">
        <v>1705937.66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257</v>
      </c>
      <c r="B306" s="32" t="s">
        <v>258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259</v>
      </c>
      <c r="B309" s="27" t="s">
        <v>260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261</v>
      </c>
      <c r="B312" s="32" t="s">
        <v>262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263</v>
      </c>
      <c r="B315" s="27" t="s">
        <v>264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</v>
      </c>
      <c r="B318" s="32" t="s">
        <v>265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266</v>
      </c>
      <c r="B321" s="27" t="s">
        <v>267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268</v>
      </c>
      <c r="B324" s="32" t="s">
        <v>269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270</v>
      </c>
      <c r="B327" s="27" t="s">
        <v>271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272</v>
      </c>
      <c r="B330" s="32" t="s">
        <v>273</v>
      </c>
      <c r="C330" s="33">
        <v>14955278.33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274</v>
      </c>
      <c r="B333" s="27" t="s">
        <v>275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276</v>
      </c>
      <c r="B336" s="32" t="s">
        <v>277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ht="22.5" x14ac:dyDescent="0.25">
      <c r="A339" s="26" t="s">
        <v>278</v>
      </c>
      <c r="B339" s="27" t="s">
        <v>279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280</v>
      </c>
      <c r="B342" s="32" t="s">
        <v>281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282</v>
      </c>
      <c r="B345" s="27" t="s">
        <v>283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ht="22.5" x14ac:dyDescent="0.25">
      <c r="A348" s="31" t="s">
        <v>284</v>
      </c>
      <c r="B348" s="32" t="s">
        <v>285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ht="22.5" x14ac:dyDescent="0.25">
      <c r="A351" s="26" t="s">
        <v>3</v>
      </c>
      <c r="B351" s="27" t="s">
        <v>286</v>
      </c>
      <c r="C351" s="28">
        <v>42421920.210000001</v>
      </c>
    </row>
    <row r="352" spans="1:3" x14ac:dyDescent="0.25">
      <c r="A352" s="29"/>
      <c r="B352" s="29"/>
      <c r="C352" s="29"/>
    </row>
    <row r="353" spans="1:3" x14ac:dyDescent="0.25">
      <c r="A353" s="30"/>
      <c r="B353" s="30"/>
      <c r="C353" s="30"/>
    </row>
    <row r="354" spans="1:3" x14ac:dyDescent="0.25">
      <c r="A354" s="31" t="s">
        <v>287</v>
      </c>
      <c r="B354" s="32" t="s">
        <v>64</v>
      </c>
      <c r="C354" s="33">
        <v>0</v>
      </c>
    </row>
    <row r="355" spans="1:3" x14ac:dyDescent="0.25">
      <c r="A355" s="34"/>
      <c r="B355" s="34"/>
      <c r="C355" s="34"/>
    </row>
    <row r="356" spans="1:3" x14ac:dyDescent="0.25">
      <c r="A356" s="25"/>
      <c r="B356" s="25"/>
      <c r="C356" s="25"/>
    </row>
    <row r="357" spans="1:3" x14ac:dyDescent="0.25">
      <c r="A357" s="26" t="s">
        <v>288</v>
      </c>
      <c r="B357" s="27" t="s">
        <v>289</v>
      </c>
      <c r="C357" s="28">
        <v>37306167.600000001</v>
      </c>
    </row>
    <row r="358" spans="1:3" x14ac:dyDescent="0.25">
      <c r="A358" s="29"/>
      <c r="B358" s="29"/>
      <c r="C358" s="29"/>
    </row>
    <row r="359" spans="1:3" x14ac:dyDescent="0.25">
      <c r="A359" s="30"/>
      <c r="B359" s="30"/>
      <c r="C359" s="30"/>
    </row>
    <row r="360" spans="1:3" ht="22.5" x14ac:dyDescent="0.25">
      <c r="A360" s="31" t="s">
        <v>290</v>
      </c>
      <c r="B360" s="32" t="s">
        <v>291</v>
      </c>
      <c r="C360" s="33">
        <v>0</v>
      </c>
    </row>
    <row r="361" spans="1:3" x14ac:dyDescent="0.25">
      <c r="A361" s="34"/>
      <c r="B361" s="34"/>
      <c r="C361" s="34"/>
    </row>
    <row r="362" spans="1:3" x14ac:dyDescent="0.25">
      <c r="A362" s="25"/>
      <c r="B362" s="25"/>
      <c r="C362" s="25"/>
    </row>
    <row r="363" spans="1:3" x14ac:dyDescent="0.25">
      <c r="A363" s="26" t="s">
        <v>292</v>
      </c>
      <c r="B363" s="27" t="s">
        <v>293</v>
      </c>
      <c r="C363" s="28">
        <v>0</v>
      </c>
    </row>
    <row r="364" spans="1:3" x14ac:dyDescent="0.25">
      <c r="A364" s="29"/>
      <c r="B364" s="29"/>
      <c r="C364" s="29"/>
    </row>
    <row r="365" spans="1:3" x14ac:dyDescent="0.25">
      <c r="A365" s="30"/>
      <c r="B365" s="30"/>
      <c r="C365" s="30"/>
    </row>
    <row r="366" spans="1:3" x14ac:dyDescent="0.25">
      <c r="A366" s="31" t="s">
        <v>294</v>
      </c>
      <c r="B366" s="32" t="s">
        <v>295</v>
      </c>
      <c r="C366" s="33">
        <v>0</v>
      </c>
    </row>
    <row r="367" spans="1:3" x14ac:dyDescent="0.25">
      <c r="A367" s="34"/>
      <c r="B367" s="34"/>
      <c r="C367" s="34"/>
    </row>
    <row r="368" spans="1:3" x14ac:dyDescent="0.25">
      <c r="A368" s="36"/>
      <c r="B368" s="36"/>
      <c r="C368" s="36"/>
    </row>
    <row r="369" spans="1:3" x14ac:dyDescent="0.25">
      <c r="A369" s="37" t="s">
        <v>296</v>
      </c>
      <c r="B369" s="38" t="s">
        <v>297</v>
      </c>
      <c r="C369" s="39">
        <v>136550681.78999999</v>
      </c>
    </row>
    <row r="370" spans="1:3" x14ac:dyDescent="0.25">
      <c r="A370" s="40"/>
      <c r="B370" s="40"/>
      <c r="C370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3E24-A858-4FF0-8BBB-75D3F5ECBECA}">
  <dimension ref="A1:C355"/>
  <sheetViews>
    <sheetView workbookViewId="0">
      <selection activeCell="H13" sqref="H13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2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7472742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14955278.33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88672964.780000001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5DBBE-FC44-4248-8D66-BE79894FA05F}">
  <dimension ref="A1:C346"/>
  <sheetViews>
    <sheetView topLeftCell="A14"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26114317.32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62367135.600000001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C1D8-3950-4A39-9E0E-EB4AB1040608}">
  <dimension ref="A1:C352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x14ac:dyDescent="0.25">
      <c r="A222" s="31" t="s">
        <v>299</v>
      </c>
      <c r="B222" s="32" t="s">
        <v>300</v>
      </c>
      <c r="C222" s="33">
        <v>507687.92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301</v>
      </c>
      <c r="B225" s="27" t="s">
        <v>302</v>
      </c>
      <c r="C225" s="28">
        <v>835486.55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221</v>
      </c>
      <c r="B228" s="32" t="s">
        <v>222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223</v>
      </c>
      <c r="B231" s="27" t="s">
        <v>224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225</v>
      </c>
      <c r="B234" s="32" t="s">
        <v>226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227</v>
      </c>
      <c r="B237" s="27" t="s">
        <v>228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229</v>
      </c>
      <c r="B240" s="32" t="s">
        <v>230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231</v>
      </c>
      <c r="B243" s="27" t="s">
        <v>232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233</v>
      </c>
      <c r="B246" s="32" t="s">
        <v>234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235</v>
      </c>
      <c r="B249" s="27" t="s">
        <v>236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237</v>
      </c>
      <c r="B252" s="32" t="s">
        <v>238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239</v>
      </c>
      <c r="B255" s="27" t="s">
        <v>240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241</v>
      </c>
      <c r="B258" s="32" t="s">
        <v>242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243</v>
      </c>
      <c r="B261" s="27" t="s">
        <v>244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32</v>
      </c>
      <c r="B264" s="32" t="s">
        <v>245</v>
      </c>
      <c r="C264" s="33">
        <v>1131124.74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20</v>
      </c>
      <c r="B267" s="27" t="s">
        <v>246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247</v>
      </c>
      <c r="B270" s="32" t="s">
        <v>248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249</v>
      </c>
      <c r="B273" s="27" t="s">
        <v>250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30</v>
      </c>
      <c r="B276" s="32" t="s">
        <v>251</v>
      </c>
      <c r="C276" s="33">
        <v>2459264.77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x14ac:dyDescent="0.25">
      <c r="A279" s="26" t="s">
        <v>252</v>
      </c>
      <c r="B279" s="27" t="s">
        <v>253</v>
      </c>
      <c r="C279" s="28">
        <v>279805.15999999997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254</v>
      </c>
      <c r="B282" s="32" t="s">
        <v>255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1</v>
      </c>
      <c r="B285" s="27" t="s">
        <v>256</v>
      </c>
      <c r="C285" s="28">
        <v>1705937.66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257</v>
      </c>
      <c r="B288" s="32" t="s">
        <v>258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259</v>
      </c>
      <c r="B291" s="27" t="s">
        <v>260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261</v>
      </c>
      <c r="B294" s="32" t="s">
        <v>262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263</v>
      </c>
      <c r="B297" s="27" t="s">
        <v>264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</v>
      </c>
      <c r="B300" s="32" t="s">
        <v>265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266</v>
      </c>
      <c r="B303" s="27" t="s">
        <v>267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268</v>
      </c>
      <c r="B306" s="32" t="s">
        <v>269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270</v>
      </c>
      <c r="B309" s="27" t="s">
        <v>271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272</v>
      </c>
      <c r="B312" s="32" t="s">
        <v>273</v>
      </c>
      <c r="C312" s="33">
        <v>13381038.51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274</v>
      </c>
      <c r="B315" s="27" t="s">
        <v>275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276</v>
      </c>
      <c r="B318" s="32" t="s">
        <v>277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278</v>
      </c>
      <c r="B321" s="27" t="s">
        <v>279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280</v>
      </c>
      <c r="B324" s="32" t="s">
        <v>281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282</v>
      </c>
      <c r="B327" s="27" t="s">
        <v>283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284</v>
      </c>
      <c r="B330" s="32" t="s">
        <v>285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3</v>
      </c>
      <c r="B333" s="27" t="s">
        <v>286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287</v>
      </c>
      <c r="B336" s="32" t="s">
        <v>64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288</v>
      </c>
      <c r="B339" s="27" t="s">
        <v>289</v>
      </c>
      <c r="C339" s="28">
        <v>32829427.489999998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290</v>
      </c>
      <c r="B342" s="32" t="s">
        <v>291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x14ac:dyDescent="0.25">
      <c r="A345" s="26" t="s">
        <v>292</v>
      </c>
      <c r="B345" s="27" t="s">
        <v>293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294</v>
      </c>
      <c r="B348" s="32" t="s">
        <v>295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36"/>
      <c r="B350" s="36"/>
      <c r="C350" s="36"/>
    </row>
    <row r="351" spans="1:3" x14ac:dyDescent="0.25">
      <c r="A351" s="37" t="s">
        <v>296</v>
      </c>
      <c r="B351" s="38" t="s">
        <v>297</v>
      </c>
      <c r="C351" s="39">
        <v>73573899.890000001</v>
      </c>
    </row>
    <row r="352" spans="1:3" x14ac:dyDescent="0.25">
      <c r="A352" s="40"/>
      <c r="B352" s="40"/>
      <c r="C352" s="40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B120-DF0E-482F-A671-B91FA1F387E8}">
  <dimension ref="A1:C355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4035280.68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13381038.51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83661263.640000001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6월 공정현황</vt:lpstr>
      <vt:lpstr>6월 17일</vt:lpstr>
      <vt:lpstr>6월 15일</vt:lpstr>
      <vt:lpstr>6월 8일</vt:lpstr>
      <vt:lpstr>6월 9일</vt:lpstr>
      <vt:lpstr>6월 10일</vt:lpstr>
      <vt:lpstr>6월 11일</vt:lpstr>
      <vt:lpstr>6월 12일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2026-06-17T03:39:28Z</dcterms:modified>
</cp:coreProperties>
</file>