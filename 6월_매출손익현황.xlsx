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조성현\Documents\GitHub\yjs_Dashboard\"/>
    </mc:Choice>
  </mc:AlternateContent>
  <xr:revisionPtr revIDLastSave="0" documentId="13_ncr:1_{25E4EACF-EA42-4D28-B6A3-A8F4B3525DE2}" xr6:coauthVersionLast="47" xr6:coauthVersionMax="47" xr10:uidLastSave="{00000000-0000-0000-0000-000000000000}"/>
  <bookViews>
    <workbookView xWindow="4350" yWindow="0" windowWidth="22620" windowHeight="15480" xr2:uid="{00000000-000D-0000-FFFF-FFFF00000000}"/>
  </bookViews>
  <sheets>
    <sheet name="6월 공정현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3" i="2"/>
  <c r="G24" i="2"/>
  <c r="G25" i="2"/>
  <c r="G26" i="2"/>
  <c r="G27" i="2"/>
  <c r="F50" i="2"/>
  <c r="F28" i="2"/>
  <c r="E28" i="2"/>
  <c r="E52" i="2" s="1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F52" i="2" l="1"/>
  <c r="G52" i="2" s="1"/>
  <c r="G28" i="2"/>
</calcChain>
</file>

<file path=xl/sharedStrings.xml><?xml version="1.0" encoding="utf-8"?>
<sst xmlns="http://schemas.openxmlformats.org/spreadsheetml/2006/main" count="127" uniqueCount="65">
  <si>
    <t>JY25-256</t>
  </si>
  <si>
    <t>SY25-011</t>
  </si>
  <si>
    <t>SY25-032</t>
  </si>
  <si>
    <t>SY26-002</t>
  </si>
  <si>
    <t>SY26-016</t>
  </si>
  <si>
    <t>공사명</t>
  </si>
  <si>
    <t>JY26-011</t>
  </si>
  <si>
    <t>JY25-165</t>
  </si>
  <si>
    <t>JY25-172</t>
  </si>
  <si>
    <t>5월 공사 공정현황</t>
  </si>
  <si>
    <t>구분</t>
  </si>
  <si>
    <t>No.</t>
  </si>
  <si>
    <t>목표 금액</t>
  </si>
  <si>
    <t>공정률</t>
  </si>
  <si>
    <t>계획 공사</t>
  </si>
  <si>
    <t>계획</t>
  </si>
  <si>
    <t>계획 공사 소계</t>
  </si>
  <si>
    <t>계획 외 공사</t>
  </si>
  <si>
    <t>-</t>
  </si>
  <si>
    <t>계획 외 공사 소계</t>
  </si>
  <si>
    <t>(목표없음)</t>
  </si>
  <si>
    <t>※ 총 공정률 = (계획 공사 실적 + 계획 외 공사 실적) ÷ 계획 공사 목표금액</t>
  </si>
  <si>
    <t>※ 총 공정률이 100%를 초과할 경우, 계획 외 공사 수행으로 인한 초과 달성을 의미합니다.</t>
  </si>
  <si>
    <t>JY26-045</t>
  </si>
  <si>
    <t>SG26-005</t>
  </si>
  <si>
    <t>JG26-028</t>
  </si>
  <si>
    <r>
      <t>부림</t>
    </r>
    <r>
      <rPr>
        <sz val="11"/>
        <color rgb="FF000000"/>
        <rFont val="Calibri"/>
      </rPr>
      <t>SW53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26</t>
    </r>
    <r>
      <rPr>
        <sz val="11"/>
        <color rgb="FF000000"/>
        <rFont val="돋움"/>
        <family val="3"/>
        <charset val="129"/>
      </rPr>
      <t>년경과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노후변압기선로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교체공사</t>
    </r>
  </si>
  <si>
    <r>
      <t>대농</t>
    </r>
    <r>
      <rPr>
        <sz val="11"/>
        <color rgb="FF000000"/>
        <rFont val="Calibri"/>
      </rPr>
      <t xml:space="preserve">2 </t>
    </r>
    <r>
      <rPr>
        <sz val="11"/>
        <color rgb="FF000000"/>
        <rFont val="돋움"/>
        <family val="3"/>
        <charset val="129"/>
      </rPr>
      <t>맨홀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저압접속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불량개소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보수공사</t>
    </r>
  </si>
  <si>
    <t>SY26-010</t>
  </si>
  <si>
    <r>
      <t>경수</t>
    </r>
    <r>
      <rPr>
        <sz val="11"/>
        <color rgb="FF000000"/>
        <rFont val="Calibri"/>
      </rPr>
      <t xml:space="preserve">SW48 </t>
    </r>
    <r>
      <rPr>
        <sz val="11"/>
        <color rgb="FF000000"/>
        <rFont val="돋움"/>
        <family val="3"/>
        <charset val="129"/>
      </rPr>
      <t>불량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경과지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관로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계통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보강공사</t>
    </r>
  </si>
  <si>
    <t>SY25-020</t>
  </si>
  <si>
    <r>
      <t>경수</t>
    </r>
    <r>
      <rPr>
        <sz val="11"/>
        <color rgb="FF000000"/>
        <rFont val="Calibri"/>
      </rPr>
      <t>TR24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26</t>
    </r>
    <r>
      <rPr>
        <sz val="11"/>
        <color rgb="FF000000"/>
        <rFont val="돋움"/>
        <family val="3"/>
        <charset val="129"/>
      </rPr>
      <t>년경과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노후변압기선로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교체공사</t>
    </r>
  </si>
  <si>
    <r>
      <t>안양동</t>
    </r>
    <r>
      <rPr>
        <sz val="11"/>
        <color rgb="FF000000"/>
        <rFont val="Calibri"/>
      </rPr>
      <t xml:space="preserve"> 682-3 </t>
    </r>
    <r>
      <rPr>
        <sz val="11"/>
        <color rgb="FF000000"/>
        <rFont val="돋움"/>
        <family val="3"/>
        <charset val="129"/>
      </rPr>
      <t>현대건설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지중외상고장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복구공사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에스제이이</t>
    </r>
    <r>
      <rPr>
        <sz val="11"/>
        <color rgb="FF000000"/>
        <rFont val="Calibri"/>
      </rPr>
      <t>)</t>
    </r>
  </si>
  <si>
    <r>
      <rPr>
        <sz val="11"/>
        <color rgb="FF000000"/>
        <rFont val="맑은 고딕"/>
        <family val="3"/>
        <charset val="129"/>
      </rPr>
      <t>부림</t>
    </r>
    <r>
      <rPr>
        <sz val="11"/>
        <color rgb="FF000000"/>
        <rFont val="Calibri"/>
        <family val="3"/>
      </rPr>
      <t xml:space="preserve">SW5 </t>
    </r>
    <r>
      <rPr>
        <sz val="11"/>
        <color rgb="FF000000"/>
        <rFont val="맑은 고딕"/>
        <family val="3"/>
        <charset val="129"/>
      </rPr>
      <t>외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수명만료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노후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지중케이블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교체공사</t>
    </r>
    <phoneticPr fontId="2" type="noConversion"/>
  </si>
  <si>
    <r>
      <t>26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특정제원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지상개폐기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교체공사</t>
    </r>
  </si>
  <si>
    <t>SG26-011</t>
  </si>
  <si>
    <r>
      <t>특정제원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이엔테크제</t>
    </r>
    <r>
      <rPr>
        <sz val="11"/>
        <color rgb="FF000000"/>
        <rFont val="Calibri"/>
      </rPr>
      <t xml:space="preserve">) </t>
    </r>
    <r>
      <rPr>
        <sz val="11"/>
        <color rgb="FF000000"/>
        <rFont val="돋움"/>
        <family val="3"/>
        <charset val="129"/>
      </rPr>
      <t>지상개폐기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교체공사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하안</t>
    </r>
    <r>
      <rPr>
        <sz val="11"/>
        <color rgb="FF000000"/>
        <rFont val="Calibri"/>
      </rPr>
      <t xml:space="preserve">249, </t>
    </r>
    <r>
      <rPr>
        <sz val="11"/>
        <color rgb="FF000000"/>
        <rFont val="돋움"/>
        <family val="3"/>
        <charset val="129"/>
      </rPr>
      <t>하안</t>
    </r>
    <r>
      <rPr>
        <sz val="11"/>
        <color rgb="FF000000"/>
        <rFont val="Calibri"/>
      </rPr>
      <t>138-2)</t>
    </r>
  </si>
  <si>
    <t>SG26-004</t>
  </si>
  <si>
    <r>
      <t>하안</t>
    </r>
    <r>
      <rPr>
        <sz val="11"/>
        <color rgb="FF000000"/>
        <rFont val="Calibri"/>
        <family val="3"/>
        <charset val="129"/>
      </rPr>
      <t xml:space="preserve">259 </t>
    </r>
    <r>
      <rPr>
        <sz val="11"/>
        <color rgb="FF000000"/>
        <rFont val="돋움"/>
        <family val="3"/>
        <charset val="129"/>
      </rPr>
      <t>지상개폐기</t>
    </r>
    <r>
      <rPr>
        <sz val="11"/>
        <color rgb="FF000000"/>
        <rFont val="Calibri"/>
        <family val="3"/>
        <charset val="129"/>
      </rPr>
      <t xml:space="preserve"> </t>
    </r>
    <r>
      <rPr>
        <sz val="11"/>
        <color rgb="FF000000"/>
        <rFont val="돋움"/>
        <family val="3"/>
        <charset val="129"/>
      </rPr>
      <t>교체공사</t>
    </r>
    <r>
      <rPr>
        <sz val="11"/>
        <color rgb="FF000000"/>
        <rFont val="Calibri"/>
        <family val="3"/>
        <charset val="129"/>
      </rPr>
      <t>(PT</t>
    </r>
    <r>
      <rPr>
        <sz val="11"/>
        <color rgb="FF000000"/>
        <rFont val="돋움"/>
        <family val="3"/>
        <charset val="129"/>
      </rPr>
      <t>불량</t>
    </r>
    <r>
      <rPr>
        <sz val="11"/>
        <color rgb="FF000000"/>
        <rFont val="Calibri"/>
        <family val="3"/>
        <charset val="129"/>
      </rPr>
      <t>)</t>
    </r>
  </si>
  <si>
    <r>
      <rPr>
        <b/>
        <sz val="11"/>
        <color rgb="FFFFFFFF"/>
        <rFont val="맑은 고딕"/>
        <family val="3"/>
        <charset val="129"/>
      </rPr>
      <t>6월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실적</t>
    </r>
    <phoneticPr fontId="2" type="noConversion"/>
  </si>
  <si>
    <t>관양동 1385-3 ㈜한미건설 임시 20kw 신설</t>
  </si>
  <si>
    <t>박달동 15-17 조인준 일반용(갑)저압 10kw 신설</t>
  </si>
  <si>
    <t>고천나구역 초등학교부지 일반용(을)고압A 950kw 신설</t>
  </si>
  <si>
    <t>JY25.260</t>
  </si>
  <si>
    <r>
      <rPr>
        <sz val="11"/>
        <color rgb="FF000000"/>
        <rFont val="맑은 고딕"/>
        <family val="3"/>
        <charset val="129"/>
      </rPr>
      <t>광명동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광명시장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일반용</t>
    </r>
    <r>
      <rPr>
        <sz val="11"/>
        <color rgb="FF000000"/>
        <rFont val="Calibri"/>
      </rPr>
      <t xml:space="preserve"> 850kw </t>
    </r>
    <r>
      <rPr>
        <sz val="11"/>
        <color rgb="FF000000"/>
        <rFont val="맑은 고딕"/>
        <family val="3"/>
        <charset val="129"/>
      </rPr>
      <t>신설</t>
    </r>
    <r>
      <rPr>
        <sz val="11"/>
        <color rgb="FF000000"/>
        <rFont val="Calibri"/>
      </rPr>
      <t>_3167</t>
    </r>
    <phoneticPr fontId="2" type="noConversion"/>
  </si>
  <si>
    <r>
      <t>내손라구역</t>
    </r>
    <r>
      <rPr>
        <sz val="11"/>
        <color rgb="FF000000"/>
        <rFont val="Calibri"/>
      </rPr>
      <t xml:space="preserve"> GS</t>
    </r>
    <r>
      <rPr>
        <sz val="11"/>
        <color rgb="FF000000"/>
        <rFont val="돋움"/>
        <family val="3"/>
        <charset val="129"/>
      </rPr>
      <t>건설</t>
    </r>
    <r>
      <rPr>
        <sz val="11"/>
        <color rgb="FF000000"/>
        <rFont val="Calibri"/>
      </rPr>
      <t xml:space="preserve"> 300kW </t>
    </r>
    <r>
      <rPr>
        <sz val="11"/>
        <color rgb="FF000000"/>
        <rFont val="돋움"/>
        <family val="3"/>
        <charset val="129"/>
      </rPr>
      <t>신설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상가용</t>
    </r>
    <r>
      <rPr>
        <sz val="11"/>
        <color rgb="FF000000"/>
        <rFont val="Calibri"/>
      </rPr>
      <t>)</t>
    </r>
  </si>
  <si>
    <r>
      <t>내손라구역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대우건설</t>
    </r>
    <r>
      <rPr>
        <sz val="11"/>
        <color rgb="FF000000"/>
        <rFont val="Calibri"/>
      </rPr>
      <t xml:space="preserve"> 160kW </t>
    </r>
    <r>
      <rPr>
        <sz val="11"/>
        <color rgb="FF000000"/>
        <rFont val="돋움"/>
        <family val="3"/>
        <charset val="129"/>
      </rPr>
      <t>신설공사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상가용</t>
    </r>
    <r>
      <rPr>
        <sz val="11"/>
        <color rgb="FF000000"/>
        <rFont val="Calibri"/>
      </rPr>
      <t>)</t>
    </r>
  </si>
  <si>
    <r>
      <t>안양동</t>
    </r>
    <r>
      <rPr>
        <sz val="11"/>
        <color rgb="FF000000"/>
        <rFont val="Calibri"/>
      </rPr>
      <t xml:space="preserve"> 413-1 </t>
    </r>
    <r>
      <rPr>
        <sz val="11"/>
        <color rgb="FF000000"/>
        <rFont val="돋움"/>
        <family val="3"/>
        <charset val="129"/>
      </rPr>
      <t>㈜대영플러스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일반용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갑</t>
    </r>
    <r>
      <rPr>
        <sz val="11"/>
        <color rgb="FF000000"/>
        <rFont val="Calibri"/>
      </rPr>
      <t>)</t>
    </r>
    <r>
      <rPr>
        <sz val="11"/>
        <color rgb="FF000000"/>
        <rFont val="돋움"/>
        <family val="3"/>
        <charset val="129"/>
      </rPr>
      <t>저압</t>
    </r>
    <r>
      <rPr>
        <sz val="11"/>
        <color rgb="FF000000"/>
        <rFont val="Calibri"/>
      </rPr>
      <t xml:space="preserve"> 120kW </t>
    </r>
    <r>
      <rPr>
        <sz val="11"/>
        <color rgb="FF000000"/>
        <rFont val="돋움"/>
        <family val="3"/>
        <charset val="129"/>
      </rPr>
      <t>신설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1</t>
    </r>
  </si>
  <si>
    <r>
      <t>관양동</t>
    </r>
    <r>
      <rPr>
        <sz val="11"/>
        <color rgb="FF000000"/>
        <rFont val="Calibri"/>
      </rPr>
      <t xml:space="preserve">1020-1 </t>
    </r>
    <r>
      <rPr>
        <sz val="11"/>
        <color rgb="FF000000"/>
        <rFont val="돋움"/>
        <family val="3"/>
        <charset val="129"/>
      </rPr>
      <t>현대드림모터스</t>
    </r>
    <r>
      <rPr>
        <sz val="11"/>
        <color rgb="FF000000"/>
        <rFont val="Calibri"/>
      </rPr>
      <t xml:space="preserve"> 89kw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</rPr>
      <t>_3040</t>
    </r>
  </si>
  <si>
    <t>(지중)하안동 광명시청 일반용(갑)저압 300kw 신설(상용/임시)</t>
    <phoneticPr fontId="16" type="noConversion"/>
  </si>
  <si>
    <t>담당자</t>
    <phoneticPr fontId="2" type="noConversion"/>
  </si>
  <si>
    <t>김상훈</t>
    <phoneticPr fontId="2" type="noConversion"/>
  </si>
  <si>
    <t>이재규</t>
    <phoneticPr fontId="2" type="noConversion"/>
  </si>
  <si>
    <r>
      <rPr>
        <sz val="11"/>
        <color rgb="FF000000"/>
        <rFont val="맑은 고딕"/>
        <family val="3"/>
        <charset val="129"/>
      </rPr>
      <t>호계동</t>
    </r>
    <r>
      <rPr>
        <sz val="11"/>
        <color rgb="FF000000"/>
        <rFont val="Calibri"/>
      </rPr>
      <t xml:space="preserve">553-1 </t>
    </r>
    <r>
      <rPr>
        <sz val="11"/>
        <color rgb="FF000000"/>
        <rFont val="돋움"/>
        <family val="3"/>
        <charset val="129"/>
      </rPr>
      <t>평촌어반밸리</t>
    </r>
    <r>
      <rPr>
        <sz val="11"/>
        <color rgb="FF000000"/>
        <rFont val="Calibri"/>
      </rPr>
      <t xml:space="preserve"> 10,750kw </t>
    </r>
    <r>
      <rPr>
        <sz val="11"/>
        <color rgb="FF000000"/>
        <rFont val="돋움"/>
        <family val="3"/>
        <charset val="129"/>
      </rPr>
      <t>신설</t>
    </r>
    <r>
      <rPr>
        <sz val="11"/>
        <color rgb="FF000000"/>
        <rFont val="Calibri"/>
      </rPr>
      <t>_3746</t>
    </r>
    <phoneticPr fontId="2" type="noConversion"/>
  </si>
  <si>
    <r>
      <rPr>
        <sz val="11"/>
        <color rgb="FF000000"/>
        <rFont val="맑은 고딕"/>
        <family val="3"/>
        <charset val="129"/>
      </rPr>
      <t>학의동</t>
    </r>
    <r>
      <rPr>
        <sz val="11"/>
        <color rgb="FF000000"/>
        <rFont val="Calibri"/>
      </rPr>
      <t xml:space="preserve">1181 </t>
    </r>
    <r>
      <rPr>
        <sz val="11"/>
        <color rgb="FF000000"/>
        <rFont val="돋움"/>
        <family val="3"/>
        <charset val="129"/>
      </rPr>
      <t>리젠시빌주택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고압</t>
    </r>
    <r>
      <rPr>
        <sz val="11"/>
        <color rgb="FF000000"/>
        <rFont val="Calibri"/>
      </rPr>
      <t xml:space="preserve"> 200kw </t>
    </r>
    <r>
      <rPr>
        <sz val="11"/>
        <color rgb="FF000000"/>
        <rFont val="돋움"/>
        <family val="3"/>
        <charset val="129"/>
      </rPr>
      <t>신설</t>
    </r>
    <r>
      <rPr>
        <sz val="11"/>
        <color rgb="FF000000"/>
        <rFont val="Calibri"/>
      </rPr>
      <t>_3206</t>
    </r>
    <phoneticPr fontId="2" type="noConversion"/>
  </si>
  <si>
    <r>
      <rPr>
        <sz val="11"/>
        <color rgb="FF000000"/>
        <rFont val="맑은 고딕"/>
        <family val="3"/>
        <charset val="129"/>
      </rPr>
      <t>안양동</t>
    </r>
    <r>
      <rPr>
        <sz val="11"/>
        <color rgb="FF000000"/>
        <rFont val="Calibri"/>
        <family val="2"/>
      </rPr>
      <t xml:space="preserve"> 97-3 </t>
    </r>
    <r>
      <rPr>
        <sz val="11"/>
        <color rgb="FF000000"/>
        <rFont val="맑은 고딕"/>
        <family val="3"/>
        <charset val="129"/>
      </rPr>
      <t>안양</t>
    </r>
    <r>
      <rPr>
        <sz val="11"/>
        <color rgb="FF000000"/>
        <rFont val="Calibri"/>
        <family val="2"/>
      </rPr>
      <t>1</t>
    </r>
    <r>
      <rPr>
        <sz val="11"/>
        <color rgb="FF000000"/>
        <rFont val="맑은 고딕"/>
        <family val="3"/>
        <charset val="129"/>
      </rPr>
      <t>동진흥아파트주택재건축정비사업조합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주택용</t>
    </r>
    <r>
      <rPr>
        <sz val="11"/>
        <color rgb="FF000000"/>
        <rFont val="Calibri"/>
        <family val="2"/>
      </rPr>
      <t xml:space="preserve"> 3kw </t>
    </r>
    <r>
      <rPr>
        <sz val="11"/>
        <color rgb="FF000000"/>
        <rFont val="맑은 고딕"/>
        <family val="3"/>
        <charset val="129"/>
      </rPr>
      <t>신설</t>
    </r>
    <phoneticPr fontId="16" type="noConversion"/>
  </si>
  <si>
    <t>JY25-053</t>
    <phoneticPr fontId="2" type="noConversion"/>
  </si>
  <si>
    <r>
      <rPr>
        <sz val="11"/>
        <color rgb="FF000000"/>
        <rFont val="맑은 고딕"/>
        <family val="3"/>
        <charset val="129"/>
      </rPr>
      <t>안양동</t>
    </r>
    <r>
      <rPr>
        <sz val="11"/>
        <color rgb="FF000000"/>
        <rFont val="Calibri"/>
        <family val="2"/>
      </rPr>
      <t xml:space="preserve"> 165-1 </t>
    </r>
    <r>
      <rPr>
        <sz val="11"/>
        <color rgb="FF000000"/>
        <rFont val="맑은 고딕"/>
        <family val="3"/>
        <charset val="129"/>
      </rPr>
      <t>안양</t>
    </r>
    <r>
      <rPr>
        <sz val="11"/>
        <color rgb="FF000000"/>
        <rFont val="Calibri"/>
        <family val="2"/>
      </rPr>
      <t>1</t>
    </r>
    <r>
      <rPr>
        <sz val="11"/>
        <color rgb="FF000000"/>
        <rFont val="맑은 고딕"/>
        <family val="3"/>
        <charset val="129"/>
      </rPr>
      <t>동진흥아파트주택재건축정비사업조합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가로등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갑</t>
    </r>
    <r>
      <rPr>
        <sz val="11"/>
        <color rgb="FF000000"/>
        <rFont val="Calibri"/>
        <family val="2"/>
      </rPr>
      <t xml:space="preserve">) 1kw </t>
    </r>
    <r>
      <rPr>
        <sz val="11"/>
        <color rgb="FF000000"/>
        <rFont val="맑은 고딕"/>
        <family val="3"/>
        <charset val="129"/>
      </rPr>
      <t>신설</t>
    </r>
    <phoneticPr fontId="2" type="noConversion"/>
  </si>
  <si>
    <t>JY25-054</t>
    <phoneticPr fontId="2" type="noConversion"/>
  </si>
  <si>
    <r>
      <rPr>
        <sz val="11"/>
        <color rgb="FF000000"/>
        <rFont val="맑은 고딕"/>
        <family val="3"/>
        <charset val="129"/>
      </rPr>
      <t>고천동</t>
    </r>
    <r>
      <rPr>
        <sz val="11"/>
        <color rgb="FF000000"/>
        <rFont val="Calibri"/>
        <family val="2"/>
      </rPr>
      <t xml:space="preserve"> 526-7 </t>
    </r>
    <r>
      <rPr>
        <sz val="11"/>
        <color rgb="FF000000"/>
        <rFont val="맑은 고딕"/>
        <family val="3"/>
        <charset val="129"/>
      </rPr>
      <t>이인성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저압</t>
    </r>
    <r>
      <rPr>
        <sz val="11"/>
        <color rgb="FF000000"/>
        <rFont val="Calibri"/>
        <family val="2"/>
      </rPr>
      <t xml:space="preserve"> 35kw </t>
    </r>
    <r>
      <rPr>
        <sz val="11"/>
        <color rgb="FF000000"/>
        <rFont val="맑은 고딕"/>
        <family val="3"/>
        <charset val="129"/>
      </rPr>
      <t>신설</t>
    </r>
    <phoneticPr fontId="2" type="noConversion"/>
  </si>
  <si>
    <t>JY26-051</t>
    <phoneticPr fontId="2" type="noConversion"/>
  </si>
  <si>
    <t>JY26-042</t>
    <phoneticPr fontId="2" type="noConversion"/>
  </si>
  <si>
    <t>JY26-043</t>
    <phoneticPr fontId="2" type="noConversion"/>
  </si>
  <si>
    <t>JY26-022</t>
    <phoneticPr fontId="2" type="noConversion"/>
  </si>
  <si>
    <r>
      <rPr>
        <b/>
        <sz val="12"/>
        <color rgb="FFFFFFFF"/>
        <rFont val="Segoe UI Symbol"/>
        <family val="1"/>
      </rPr>
      <t>▶</t>
    </r>
    <r>
      <rPr>
        <b/>
        <sz val="12"/>
        <color rgb="FFFFFFFF"/>
        <rFont val="Calibri"/>
        <family val="2"/>
      </rPr>
      <t xml:space="preserve"> 6</t>
    </r>
    <r>
      <rPr>
        <b/>
        <sz val="12"/>
        <color rgb="FFFFFFFF"/>
        <rFont val="맑은 고딕"/>
        <family val="3"/>
        <charset val="129"/>
      </rPr>
      <t>월</t>
    </r>
    <r>
      <rPr>
        <b/>
        <sz val="12"/>
        <color rgb="FFFFFFFF"/>
        <rFont val="Calibri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총</t>
    </r>
    <r>
      <rPr>
        <b/>
        <sz val="12"/>
        <color rgb="FFFFFFFF"/>
        <rFont val="Calibri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공정현황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</si>
</sst>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20" x14ac:knownFonts="1">
    <font>
      <sz val="11"/>
      <color rgb="FF000000"/>
      <name val="Calibri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595959"/>
      <name val="Calibri"/>
      <family val="2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</font>
    <font>
      <sz val="11"/>
      <color rgb="FF000000"/>
      <name val="Calibri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Calibri"/>
      <family val="3"/>
      <charset val="129"/>
    </font>
    <font>
      <sz val="8"/>
      <name val="맑은 고딕"/>
      <family val="2"/>
      <charset val="129"/>
      <scheme val="minor"/>
    </font>
    <font>
      <b/>
      <sz val="12"/>
      <color rgb="FFFFFFFF"/>
      <name val="Calibri"/>
      <family val="1"/>
    </font>
    <font>
      <b/>
      <sz val="12"/>
      <color rgb="FFFFFFFF"/>
      <name val="맑은 고딕"/>
      <family val="3"/>
      <charset val="129"/>
    </font>
    <font>
      <b/>
      <sz val="12"/>
      <color rgb="FFFFFFFF"/>
      <name val="Segoe UI Symbol"/>
      <family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5" fillId="4" borderId="0" xfId="0" applyFont="1" applyFill="1">
      <alignment vertical="center"/>
    </xf>
    <xf numFmtId="0" fontId="0" fillId="4" borderId="0" xfId="0" applyFill="1">
      <alignment vertical="center"/>
    </xf>
    <xf numFmtId="3" fontId="5" fillId="4" borderId="0" xfId="0" applyNumberFormat="1" applyFont="1" applyFill="1">
      <alignment vertical="center"/>
    </xf>
    <xf numFmtId="176" fontId="5" fillId="4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3" fontId="5" fillId="5" borderId="0" xfId="0" applyNumberFormat="1" applyFont="1" applyFill="1">
      <alignment vertical="center"/>
    </xf>
    <xf numFmtId="0" fontId="0" fillId="2" borderId="0" xfId="0" applyFill="1">
      <alignment vertical="center"/>
    </xf>
    <xf numFmtId="3" fontId="4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7" fillId="0" borderId="0" xfId="0" applyFont="1">
      <alignment vertical="center"/>
    </xf>
    <xf numFmtId="0" fontId="8" fillId="6" borderId="0" xfId="0" applyFont="1" applyFill="1">
      <alignment vertical="center"/>
    </xf>
    <xf numFmtId="3" fontId="8" fillId="6" borderId="0" xfId="0" applyNumberFormat="1" applyFont="1" applyFill="1">
      <alignment vertical="center"/>
    </xf>
    <xf numFmtId="0" fontId="3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5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7" fillId="2" borderId="0" xfId="0" applyFont="1" applyFill="1">
      <alignment vertical="center"/>
    </xf>
  </cellXfs>
  <cellStyles count="2">
    <cellStyle name="쉼표 [0] 2" xfId="1" xr:uid="{E4EAD811-3340-4DA3-B844-C22CF40397F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B2FCBF-F6C6-4DE6-8D01-22196E20ACF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7aeab69-dacb-4f6b-9518-5b2a070f0dd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721F-CABF-4395-9B06-2FFC3CB5EEB3}">
  <dimension ref="A1:G55"/>
  <sheetViews>
    <sheetView tabSelected="1" topLeftCell="A24" workbookViewId="0">
      <selection activeCell="D37" sqref="D37"/>
    </sheetView>
  </sheetViews>
  <sheetFormatPr defaultRowHeight="15" x14ac:dyDescent="0.25"/>
  <cols>
    <col min="1" max="1" width="15.28515625" customWidth="1"/>
    <col min="2" max="3" width="19" customWidth="1"/>
    <col min="4" max="4" width="82.5703125" bestFit="1" customWidth="1"/>
    <col min="5" max="6" width="21" customWidth="1"/>
    <col min="7" max="7" width="15.28515625" customWidth="1"/>
  </cols>
  <sheetData>
    <row r="1" spans="1:7" ht="30" customHeight="1" x14ac:dyDescent="0.25">
      <c r="A1" s="20" t="s">
        <v>9</v>
      </c>
      <c r="B1" s="20"/>
      <c r="C1" s="20"/>
      <c r="D1" s="20"/>
      <c r="E1" s="20"/>
      <c r="F1" s="20"/>
      <c r="G1" s="20"/>
    </row>
    <row r="3" spans="1:7" ht="21.95" customHeight="1" x14ac:dyDescent="0.25">
      <c r="A3" s="1" t="s">
        <v>10</v>
      </c>
      <c r="B3" s="1" t="s">
        <v>11</v>
      </c>
      <c r="C3" s="23" t="s">
        <v>50</v>
      </c>
      <c r="D3" s="1" t="s">
        <v>5</v>
      </c>
      <c r="E3" s="1" t="s">
        <v>12</v>
      </c>
      <c r="F3" s="22" t="s">
        <v>39</v>
      </c>
      <c r="G3" s="1" t="s">
        <v>13</v>
      </c>
    </row>
    <row r="4" spans="1:7" x14ac:dyDescent="0.25">
      <c r="A4" s="2" t="s">
        <v>14</v>
      </c>
      <c r="B4" s="3"/>
      <c r="C4" s="3"/>
      <c r="D4" s="3"/>
      <c r="E4" s="3"/>
      <c r="F4" s="3"/>
      <c r="G4" s="3"/>
    </row>
    <row r="5" spans="1:7" ht="16.5" x14ac:dyDescent="0.25">
      <c r="A5" t="s">
        <v>15</v>
      </c>
      <c r="B5" t="s">
        <v>3</v>
      </c>
      <c r="C5" s="25" t="s">
        <v>51</v>
      </c>
      <c r="D5" t="s">
        <v>26</v>
      </c>
      <c r="E5" s="4">
        <v>36994000</v>
      </c>
      <c r="F5" s="4">
        <v>0</v>
      </c>
      <c r="G5" s="5">
        <f t="shared" ref="G5:G27" si="0">F5/E5</f>
        <v>0</v>
      </c>
    </row>
    <row r="6" spans="1:7" ht="16.5" x14ac:dyDescent="0.25">
      <c r="A6" t="s">
        <v>15</v>
      </c>
      <c r="B6" t="s">
        <v>1</v>
      </c>
      <c r="C6" s="25" t="s">
        <v>51</v>
      </c>
      <c r="D6" t="s">
        <v>27</v>
      </c>
      <c r="E6" s="4">
        <v>1706000</v>
      </c>
      <c r="F6" s="4">
        <v>0</v>
      </c>
      <c r="G6" s="5">
        <f t="shared" si="0"/>
        <v>0</v>
      </c>
    </row>
    <row r="7" spans="1:7" ht="16.5" x14ac:dyDescent="0.25">
      <c r="A7" t="s">
        <v>15</v>
      </c>
      <c r="B7" t="s">
        <v>28</v>
      </c>
      <c r="C7" s="25" t="s">
        <v>51</v>
      </c>
      <c r="D7" t="s">
        <v>29</v>
      </c>
      <c r="E7" s="4">
        <v>11238000</v>
      </c>
      <c r="F7" s="4">
        <v>0</v>
      </c>
      <c r="G7" s="5">
        <f t="shared" si="0"/>
        <v>0</v>
      </c>
    </row>
    <row r="8" spans="1:7" ht="16.5" x14ac:dyDescent="0.25">
      <c r="A8" t="s">
        <v>15</v>
      </c>
      <c r="B8" t="s">
        <v>30</v>
      </c>
      <c r="C8" s="25" t="s">
        <v>51</v>
      </c>
      <c r="D8" t="s">
        <v>31</v>
      </c>
      <c r="E8" s="4">
        <v>30190000</v>
      </c>
      <c r="F8" s="4">
        <v>0</v>
      </c>
      <c r="G8" s="5">
        <f t="shared" si="0"/>
        <v>0</v>
      </c>
    </row>
    <row r="9" spans="1:7" ht="16.5" x14ac:dyDescent="0.25">
      <c r="A9" t="s">
        <v>15</v>
      </c>
      <c r="B9" t="s">
        <v>2</v>
      </c>
      <c r="C9" s="25" t="s">
        <v>51</v>
      </c>
      <c r="D9" t="s">
        <v>32</v>
      </c>
      <c r="E9" s="4">
        <v>5747000</v>
      </c>
      <c r="F9" s="4">
        <v>0</v>
      </c>
      <c r="G9" s="5">
        <f t="shared" si="0"/>
        <v>0</v>
      </c>
    </row>
    <row r="10" spans="1:7" ht="16.5" x14ac:dyDescent="0.25">
      <c r="A10" t="s">
        <v>15</v>
      </c>
      <c r="B10" t="s">
        <v>4</v>
      </c>
      <c r="C10" s="25" t="s">
        <v>51</v>
      </c>
      <c r="D10" t="s">
        <v>33</v>
      </c>
      <c r="E10" s="4">
        <v>45588000</v>
      </c>
      <c r="F10" s="4">
        <v>0</v>
      </c>
      <c r="G10" s="5">
        <f t="shared" si="0"/>
        <v>0</v>
      </c>
    </row>
    <row r="11" spans="1:7" ht="16.5" x14ac:dyDescent="0.25">
      <c r="A11" t="s">
        <v>15</v>
      </c>
      <c r="B11" t="s">
        <v>24</v>
      </c>
      <c r="C11" s="25" t="s">
        <v>51</v>
      </c>
      <c r="D11" t="s">
        <v>34</v>
      </c>
      <c r="E11" s="4">
        <v>14899000</v>
      </c>
      <c r="F11" s="4">
        <v>0</v>
      </c>
      <c r="G11" s="5">
        <f t="shared" si="0"/>
        <v>0</v>
      </c>
    </row>
    <row r="12" spans="1:7" ht="16.5" x14ac:dyDescent="0.25">
      <c r="A12" t="s">
        <v>15</v>
      </c>
      <c r="B12" t="s">
        <v>35</v>
      </c>
      <c r="C12" s="25" t="s">
        <v>51</v>
      </c>
      <c r="D12" t="s">
        <v>36</v>
      </c>
      <c r="E12" s="4">
        <v>2459000</v>
      </c>
      <c r="F12" s="4">
        <v>0</v>
      </c>
      <c r="G12" s="5">
        <f t="shared" si="0"/>
        <v>0</v>
      </c>
    </row>
    <row r="13" spans="1:7" ht="16.5" x14ac:dyDescent="0.25">
      <c r="A13" t="s">
        <v>15</v>
      </c>
      <c r="B13" t="s">
        <v>37</v>
      </c>
      <c r="C13" s="25" t="s">
        <v>51</v>
      </c>
      <c r="D13" t="s">
        <v>38</v>
      </c>
      <c r="E13" s="4">
        <v>1131000</v>
      </c>
      <c r="F13" s="4">
        <v>0</v>
      </c>
      <c r="G13" s="5">
        <f t="shared" si="0"/>
        <v>0</v>
      </c>
    </row>
    <row r="14" spans="1:7" ht="16.5" x14ac:dyDescent="0.25">
      <c r="A14" t="s">
        <v>15</v>
      </c>
      <c r="B14" t="s">
        <v>23</v>
      </c>
      <c r="C14" s="24" t="s">
        <v>52</v>
      </c>
      <c r="D14" s="21" t="s">
        <v>54</v>
      </c>
      <c r="E14" s="4">
        <v>1086000</v>
      </c>
      <c r="F14" s="4">
        <v>0</v>
      </c>
      <c r="G14" s="5">
        <f t="shared" si="0"/>
        <v>0</v>
      </c>
    </row>
    <row r="15" spans="1:7" ht="16.5" x14ac:dyDescent="0.25">
      <c r="A15" t="s">
        <v>15</v>
      </c>
      <c r="B15" t="s">
        <v>0</v>
      </c>
      <c r="C15" s="24" t="s">
        <v>52</v>
      </c>
      <c r="D15" s="21" t="s">
        <v>53</v>
      </c>
      <c r="E15" s="4">
        <v>2677000</v>
      </c>
      <c r="F15" s="4">
        <v>0</v>
      </c>
      <c r="G15" s="5">
        <f t="shared" si="0"/>
        <v>0</v>
      </c>
    </row>
    <row r="16" spans="1:7" ht="16.5" x14ac:dyDescent="0.25">
      <c r="A16" t="s">
        <v>15</v>
      </c>
      <c r="B16" s="26" t="s">
        <v>56</v>
      </c>
      <c r="C16" s="24" t="s">
        <v>52</v>
      </c>
      <c r="D16" s="21" t="s">
        <v>55</v>
      </c>
      <c r="E16" s="4">
        <v>259000</v>
      </c>
      <c r="F16" s="4">
        <v>0</v>
      </c>
      <c r="G16" s="5">
        <f t="shared" si="0"/>
        <v>0</v>
      </c>
    </row>
    <row r="17" spans="1:7" ht="16.5" x14ac:dyDescent="0.25">
      <c r="A17" t="s">
        <v>15</v>
      </c>
      <c r="B17" s="26" t="s">
        <v>58</v>
      </c>
      <c r="C17" s="24" t="s">
        <v>52</v>
      </c>
      <c r="D17" s="21" t="s">
        <v>57</v>
      </c>
      <c r="E17" s="4">
        <v>259000</v>
      </c>
      <c r="F17" s="4">
        <v>0</v>
      </c>
      <c r="G17" s="5">
        <f t="shared" si="0"/>
        <v>0</v>
      </c>
    </row>
    <row r="18" spans="1:7" ht="16.5" x14ac:dyDescent="0.25">
      <c r="A18" t="s">
        <v>15</v>
      </c>
      <c r="C18" s="24" t="s">
        <v>52</v>
      </c>
      <c r="D18" s="21" t="s">
        <v>59</v>
      </c>
      <c r="E18" s="4">
        <v>925000</v>
      </c>
      <c r="F18" s="4">
        <v>0</v>
      </c>
      <c r="G18" s="5">
        <f t="shared" si="0"/>
        <v>0</v>
      </c>
    </row>
    <row r="19" spans="1:7" ht="16.5" x14ac:dyDescent="0.25">
      <c r="A19" t="s">
        <v>15</v>
      </c>
      <c r="B19" s="26" t="s">
        <v>60</v>
      </c>
      <c r="C19" s="24" t="s">
        <v>52</v>
      </c>
      <c r="D19" t="s">
        <v>40</v>
      </c>
      <c r="E19" s="4">
        <v>17000</v>
      </c>
      <c r="F19" s="4">
        <v>0</v>
      </c>
      <c r="G19" s="5">
        <f t="shared" si="0"/>
        <v>0</v>
      </c>
    </row>
    <row r="20" spans="1:7" ht="16.5" x14ac:dyDescent="0.25">
      <c r="A20" t="s">
        <v>15</v>
      </c>
      <c r="B20" s="26" t="s">
        <v>61</v>
      </c>
      <c r="C20" s="24" t="s">
        <v>52</v>
      </c>
      <c r="D20" t="s">
        <v>41</v>
      </c>
      <c r="E20" s="4">
        <v>405000</v>
      </c>
      <c r="F20" s="4">
        <v>0</v>
      </c>
      <c r="G20" s="5">
        <f t="shared" si="0"/>
        <v>0</v>
      </c>
    </row>
    <row r="21" spans="1:7" ht="16.5" x14ac:dyDescent="0.25">
      <c r="A21" t="s">
        <v>15</v>
      </c>
      <c r="B21" s="26" t="s">
        <v>62</v>
      </c>
      <c r="C21" s="24" t="s">
        <v>52</v>
      </c>
      <c r="D21" t="s">
        <v>42</v>
      </c>
      <c r="E21" s="4">
        <v>9903000</v>
      </c>
      <c r="F21" s="4">
        <v>0</v>
      </c>
      <c r="G21" s="5">
        <f t="shared" si="0"/>
        <v>0</v>
      </c>
    </row>
    <row r="22" spans="1:7" ht="16.5" x14ac:dyDescent="0.25">
      <c r="A22" t="s">
        <v>15</v>
      </c>
      <c r="B22" t="s">
        <v>25</v>
      </c>
      <c r="C22" s="24" t="s">
        <v>52</v>
      </c>
      <c r="D22" t="s">
        <v>44</v>
      </c>
      <c r="E22" s="4">
        <v>1002000</v>
      </c>
      <c r="F22" s="4">
        <v>0</v>
      </c>
      <c r="G22" s="5">
        <f t="shared" si="0"/>
        <v>0</v>
      </c>
    </row>
    <row r="23" spans="1:7" ht="16.5" x14ac:dyDescent="0.25">
      <c r="A23" t="s">
        <v>15</v>
      </c>
      <c r="B23" t="s">
        <v>8</v>
      </c>
      <c r="C23" s="24" t="s">
        <v>52</v>
      </c>
      <c r="D23" t="s">
        <v>45</v>
      </c>
      <c r="E23" s="4">
        <v>1137000</v>
      </c>
      <c r="F23" s="4">
        <v>0</v>
      </c>
      <c r="G23" s="5">
        <f t="shared" si="0"/>
        <v>0</v>
      </c>
    </row>
    <row r="24" spans="1:7" ht="16.5" x14ac:dyDescent="0.25">
      <c r="A24" t="s">
        <v>15</v>
      </c>
      <c r="B24" t="s">
        <v>7</v>
      </c>
      <c r="C24" s="24" t="s">
        <v>52</v>
      </c>
      <c r="D24" t="s">
        <v>46</v>
      </c>
      <c r="E24" s="4">
        <v>395000</v>
      </c>
      <c r="F24" s="4">
        <v>0</v>
      </c>
      <c r="G24" s="5">
        <f t="shared" si="0"/>
        <v>0</v>
      </c>
    </row>
    <row r="25" spans="1:7" ht="16.5" x14ac:dyDescent="0.25">
      <c r="A25" t="s">
        <v>15</v>
      </c>
      <c r="B25" t="s">
        <v>43</v>
      </c>
      <c r="C25" s="24" t="s">
        <v>52</v>
      </c>
      <c r="D25" t="s">
        <v>47</v>
      </c>
      <c r="E25" s="4">
        <v>7472000</v>
      </c>
      <c r="F25" s="4">
        <v>0</v>
      </c>
      <c r="G25" s="5">
        <f t="shared" si="0"/>
        <v>0</v>
      </c>
    </row>
    <row r="26" spans="1:7" ht="16.5" x14ac:dyDescent="0.25">
      <c r="A26" t="s">
        <v>15</v>
      </c>
      <c r="B26" t="s">
        <v>6</v>
      </c>
      <c r="C26" s="24" t="s">
        <v>52</v>
      </c>
      <c r="D26" t="s">
        <v>48</v>
      </c>
      <c r="E26" s="4">
        <v>14296000</v>
      </c>
      <c r="F26" s="4">
        <v>0</v>
      </c>
      <c r="G26" s="5">
        <f t="shared" si="0"/>
        <v>0</v>
      </c>
    </row>
    <row r="27" spans="1:7" ht="16.5" x14ac:dyDescent="0.25">
      <c r="A27" t="s">
        <v>15</v>
      </c>
      <c r="B27" s="26" t="s">
        <v>63</v>
      </c>
      <c r="C27" s="24" t="s">
        <v>52</v>
      </c>
      <c r="D27" t="s">
        <v>49</v>
      </c>
      <c r="E27" s="4">
        <v>15102000</v>
      </c>
      <c r="F27" s="4">
        <v>0</v>
      </c>
      <c r="G27" s="5">
        <f t="shared" si="0"/>
        <v>0</v>
      </c>
    </row>
    <row r="28" spans="1:7" x14ac:dyDescent="0.25">
      <c r="A28" s="6" t="s">
        <v>16</v>
      </c>
      <c r="B28" s="7"/>
      <c r="C28" s="7"/>
      <c r="D28" s="7"/>
      <c r="E28" s="8">
        <f>SUM(E5:E27)</f>
        <v>204887000</v>
      </c>
      <c r="F28" s="8">
        <f>SUM(F5:F27)</f>
        <v>0</v>
      </c>
      <c r="G28" s="9">
        <f>IF(E28&gt;0,F28/E28,"-")</f>
        <v>0</v>
      </c>
    </row>
    <row r="30" spans="1:7" x14ac:dyDescent="0.25">
      <c r="A30" s="11" t="s">
        <v>17</v>
      </c>
      <c r="B30" s="12"/>
      <c r="C30" s="12"/>
      <c r="D30" s="12"/>
      <c r="E30" s="12"/>
      <c r="F30" s="12"/>
      <c r="G30" s="12"/>
    </row>
    <row r="31" spans="1:7" x14ac:dyDescent="0.25">
      <c r="F31" s="4"/>
      <c r="G31" t="s">
        <v>18</v>
      </c>
    </row>
    <row r="32" spans="1:7" x14ac:dyDescent="0.25">
      <c r="F32" s="4"/>
      <c r="G32" t="s">
        <v>18</v>
      </c>
    </row>
    <row r="33" spans="1:7" x14ac:dyDescent="0.25">
      <c r="F33" s="4"/>
      <c r="G33" t="s">
        <v>18</v>
      </c>
    </row>
    <row r="34" spans="1:7" x14ac:dyDescent="0.25">
      <c r="F34" s="4"/>
      <c r="G34" t="s">
        <v>18</v>
      </c>
    </row>
    <row r="35" spans="1:7" x14ac:dyDescent="0.25">
      <c r="F35" s="4"/>
      <c r="G35" t="s">
        <v>18</v>
      </c>
    </row>
    <row r="36" spans="1:7" x14ac:dyDescent="0.25">
      <c r="F36" s="4"/>
      <c r="G36" t="s">
        <v>18</v>
      </c>
    </row>
    <row r="37" spans="1:7" x14ac:dyDescent="0.25">
      <c r="F37" s="4"/>
      <c r="G37" t="s">
        <v>18</v>
      </c>
    </row>
    <row r="38" spans="1:7" x14ac:dyDescent="0.25">
      <c r="F38" s="4"/>
      <c r="G38" t="s">
        <v>18</v>
      </c>
    </row>
    <row r="39" spans="1:7" x14ac:dyDescent="0.25">
      <c r="F39" s="4"/>
      <c r="G39" t="s">
        <v>18</v>
      </c>
    </row>
    <row r="40" spans="1:7" x14ac:dyDescent="0.25">
      <c r="F40" s="4"/>
      <c r="G40" t="s">
        <v>18</v>
      </c>
    </row>
    <row r="41" spans="1:7" x14ac:dyDescent="0.25">
      <c r="F41" s="4"/>
      <c r="G41" t="s">
        <v>18</v>
      </c>
    </row>
    <row r="42" spans="1:7" x14ac:dyDescent="0.25">
      <c r="F42" s="4"/>
      <c r="G42" t="s">
        <v>18</v>
      </c>
    </row>
    <row r="43" spans="1:7" x14ac:dyDescent="0.25">
      <c r="F43" s="4"/>
      <c r="G43" t="s">
        <v>18</v>
      </c>
    </row>
    <row r="44" spans="1:7" x14ac:dyDescent="0.25">
      <c r="F44" s="4"/>
      <c r="G44" t="s">
        <v>18</v>
      </c>
    </row>
    <row r="45" spans="1:7" x14ac:dyDescent="0.25">
      <c r="F45" s="4"/>
      <c r="G45" t="s">
        <v>18</v>
      </c>
    </row>
    <row r="46" spans="1:7" x14ac:dyDescent="0.25">
      <c r="A46" s="18"/>
      <c r="B46" s="18"/>
      <c r="C46" s="18"/>
      <c r="D46" s="18"/>
      <c r="E46" s="18"/>
      <c r="F46" s="19"/>
      <c r="G46" s="18" t="s">
        <v>18</v>
      </c>
    </row>
    <row r="47" spans="1:7" x14ac:dyDescent="0.25">
      <c r="A47" s="18"/>
      <c r="B47" s="18"/>
      <c r="C47" s="18"/>
      <c r="D47" s="18"/>
      <c r="E47" s="18"/>
      <c r="F47" s="19"/>
      <c r="G47" s="18" t="s">
        <v>18</v>
      </c>
    </row>
    <row r="48" spans="1:7" x14ac:dyDescent="0.25">
      <c r="A48" s="18"/>
      <c r="B48" s="18"/>
      <c r="C48" s="18"/>
      <c r="D48" s="18"/>
      <c r="E48" s="18"/>
      <c r="F48" s="19"/>
      <c r="G48" s="18" t="s">
        <v>18</v>
      </c>
    </row>
    <row r="49" spans="1:7" x14ac:dyDescent="0.25">
      <c r="A49" s="18"/>
      <c r="B49" s="18"/>
      <c r="C49" s="18"/>
      <c r="D49" s="18"/>
      <c r="E49" s="18"/>
      <c r="F49" s="19"/>
      <c r="G49" s="18" t="s">
        <v>18</v>
      </c>
    </row>
    <row r="50" spans="1:7" x14ac:dyDescent="0.25">
      <c r="A50" s="10" t="s">
        <v>19</v>
      </c>
      <c r="B50" s="12"/>
      <c r="C50" s="12"/>
      <c r="D50" s="12"/>
      <c r="E50" s="10" t="s">
        <v>20</v>
      </c>
      <c r="F50" s="13">
        <f>SUM(F31:F49)</f>
        <v>0</v>
      </c>
      <c r="G50" s="12" t="s">
        <v>18</v>
      </c>
    </row>
    <row r="52" spans="1:7" ht="17.25" x14ac:dyDescent="0.25">
      <c r="A52" s="27" t="s">
        <v>64</v>
      </c>
      <c r="B52" s="14"/>
      <c r="C52" s="14"/>
      <c r="D52" s="14"/>
      <c r="E52" s="15">
        <f>E28</f>
        <v>204887000</v>
      </c>
      <c r="F52" s="15">
        <f>F28+F50</f>
        <v>0</v>
      </c>
      <c r="G52" s="16">
        <f>F52/E52</f>
        <v>0</v>
      </c>
    </row>
    <row r="54" spans="1:7" x14ac:dyDescent="0.25">
      <c r="A54" s="17" t="s">
        <v>21</v>
      </c>
    </row>
    <row r="55" spans="1:7" x14ac:dyDescent="0.25">
      <c r="A55" s="17" t="s">
        <v>22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6월 공정현황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성현 조</cp:lastModifiedBy>
  <dcterms:modified xsi:type="dcterms:W3CDTF">2026-06-01T01:52:15Z</dcterms:modified>
</cp:coreProperties>
</file>