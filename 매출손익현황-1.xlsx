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조성현\Documents\GitHub\yjs_Dashboard\"/>
    </mc:Choice>
  </mc:AlternateContent>
  <xr:revisionPtr revIDLastSave="0" documentId="13_ncr:1_{7DDE7754-8085-4E0B-916B-2FF3F05B166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5월 공정현황" sheetId="2" r:id="rId1"/>
    <sheet name="5월 22일" sheetId="3" r:id="rId2"/>
    <sheet name="5월 26일" sheetId="4" r:id="rId3"/>
    <sheet name="5월 27일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2" l="1"/>
  <c r="E24" i="2"/>
  <c r="D24" i="2"/>
  <c r="D47" i="2" s="1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E47" i="2" l="1"/>
  <c r="F47" i="2" s="1"/>
  <c r="F24" i="2"/>
</calcChain>
</file>

<file path=xl/sharedStrings.xml><?xml version="1.0" encoding="utf-8"?>
<sst xmlns="http://schemas.openxmlformats.org/spreadsheetml/2006/main" count="792" uniqueCount="245">
  <si>
    <t>지중No</t>
  </si>
  <si>
    <t>JY25-256</t>
  </si>
  <si>
    <t>JY26-022</t>
  </si>
  <si>
    <t>JY26-033</t>
  </si>
  <si>
    <t>JY26-040</t>
  </si>
  <si>
    <t>JY26-041</t>
  </si>
  <si>
    <t>SY25-011</t>
  </si>
  <si>
    <t>SY25-032</t>
  </si>
  <si>
    <t>SY26-002</t>
  </si>
  <si>
    <t>SY26-016</t>
  </si>
  <si>
    <t>Z합계</t>
  </si>
  <si>
    <t>공사명</t>
  </si>
  <si>
    <t>호계동553-1 평촌어반밸리 10750kW 신설</t>
  </si>
  <si>
    <t>호계동1020-3 무인교통단속장비 가로등(을) 1kw 신설</t>
  </si>
  <si>
    <t>내손동693-8 정은종합건설 임시 70kw 신설</t>
  </si>
  <si>
    <t>안양동 441-9 백지현 일반용(갑)저압 15kw 공급방식변경증설</t>
  </si>
  <si>
    <t>비산동1111 안양시동안구청 1650kw 공급지점변경</t>
  </si>
  <si>
    <t>대농2 맨홀 내 저압접속 불량개소 보수공사</t>
  </si>
  <si>
    <t>안양동 682-3 현대건설 지중외상고장 복구공사(에스제이이)</t>
  </si>
  <si>
    <t>부림SW53외 26년경과 노후변압기선로 교체공사</t>
  </si>
  <si>
    <t>부림SW5 외 수명만료 노후 지중케이블 교체공사</t>
  </si>
  <si>
    <t>안양 샘모루초교 지중화공사</t>
  </si>
  <si>
    <t/>
  </si>
  <si>
    <t>SY26-009</t>
  </si>
  <si>
    <t>SY26-015</t>
  </si>
  <si>
    <t>SY26-017</t>
  </si>
  <si>
    <t>군포중 지중화공사</t>
  </si>
  <si>
    <t>과천부림동 지중화공사</t>
  </si>
  <si>
    <t>석수동585-38 박도경 지장전주 이설공사(일직지35)</t>
  </si>
  <si>
    <t>동편M22 ~ 동편T6-1 저압 노후케이블 교체공사</t>
  </si>
  <si>
    <t>평촌간28R2 순시 적출분 해소공사</t>
  </si>
  <si>
    <t>JY25-260</t>
  </si>
  <si>
    <t>안양동 413-1 ㈜대영플러스 일반용(갑)저압 120kW 신설 외 1</t>
  </si>
  <si>
    <t>JY26-010</t>
  </si>
  <si>
    <t>고천동304-2 최가영 14+4kw 증설_3046</t>
  </si>
  <si>
    <t>JY26-011</t>
  </si>
  <si>
    <t>관양동1020-1 현대드림모터스 89kw 증설_3040</t>
  </si>
  <si>
    <t>5월</t>
  </si>
  <si>
    <t>CG26-001</t>
  </si>
  <si>
    <t>일직동 528-1(아지건설 저압 30KW전기공급)</t>
  </si>
  <si>
    <t>CG26-005</t>
  </si>
  <si>
    <t>26년도 지상기기 정기검사 (광명역세권지구)</t>
  </si>
  <si>
    <t>CG26-006</t>
  </si>
  <si>
    <t>일직동 528-1(효성,저압 50KW ) 전기공급공사</t>
  </si>
  <si>
    <t>CG26-007</t>
  </si>
  <si>
    <t>일직동 511-2 (시티글로벌,고압 300KW)전기공급공사</t>
  </si>
  <si>
    <t>CG26-113</t>
  </si>
  <si>
    <t>JG25-038</t>
  </si>
  <si>
    <t>광명시 광명동 소방청 일반용 499kW 신설</t>
  </si>
  <si>
    <t>JG25-041</t>
  </si>
  <si>
    <t>광명시 가학동 경기주택도시공사 일반용 300kw 신설</t>
  </si>
  <si>
    <t>JG26-001</t>
  </si>
  <si>
    <t>(지)광명시 광명동 경륜경정총괄본부 일반용 130kW 신설</t>
  </si>
  <si>
    <t>JG26-002</t>
  </si>
  <si>
    <t>철산동 광명제1R구역주택 가로등(갑) 1kW 신설(왕일 1-4-P1)</t>
  </si>
  <si>
    <t>JG26-013</t>
  </si>
  <si>
    <t>2026년 광명지사 지중저압설비점검</t>
  </si>
  <si>
    <t>JG26-014</t>
  </si>
  <si>
    <t>철산동 (주)플러그링크 일반용(갑)저압 140kW 신설(상용/임시)</t>
  </si>
  <si>
    <t>JG26-015</t>
  </si>
  <si>
    <t>2026년 광명지사 저압접속함 점검 및 보강공사</t>
  </si>
  <si>
    <t>JG26-016</t>
  </si>
  <si>
    <t>(지)광명시 광명동 광명시장 가로등(갑) 1kw 공급지점변경</t>
  </si>
  <si>
    <t>JG26-017</t>
  </si>
  <si>
    <t>(지중)하안동 (주)플러그링크 일반용(갑)저압 21KW 신설(상용/임시)</t>
  </si>
  <si>
    <t>JG26-018</t>
  </si>
  <si>
    <t>(지중)하안동 (주)플러그링크 일반용(갑)저압 42kw 신설(상용/임시)</t>
  </si>
  <si>
    <t>JG26-019</t>
  </si>
  <si>
    <t>(지중)하안동 은광교회 일반용(갑)저압 72kw 신설(상용/임시)</t>
  </si>
  <si>
    <t>JG26-024</t>
  </si>
  <si>
    <t>(지중)하안동 광명전통문화연구회 임시전력(갑) 3kw 신설(상용/임시)</t>
  </si>
  <si>
    <t>JG26-025</t>
  </si>
  <si>
    <t>(지중)하안동 광명전통문화연구회 임시전력(갑) 3kw 신설(상용/임시)-2</t>
  </si>
  <si>
    <t>JG26-026</t>
  </si>
  <si>
    <t>(지중)철산동 광명전통문화연구회 임시전력(갑) 3kw 신설(상용/임시)</t>
  </si>
  <si>
    <t>JY25-020</t>
  </si>
  <si>
    <t>학의동1138 의왕시청 3kw 신설</t>
  </si>
  <si>
    <t>JY25-078</t>
  </si>
  <si>
    <t>오전동32-7 오전나구역 3,250kW 신설</t>
  </si>
  <si>
    <t>JY25-096</t>
  </si>
  <si>
    <t>석수동 348 화창지구재개발정비사업조합 일반용(갑)저압 12kW 신설</t>
  </si>
  <si>
    <t>JY25-127</t>
  </si>
  <si>
    <t>2025년 안양군포의왕지사 수급지점 개폐기 조작공사</t>
  </si>
  <si>
    <t>JY25-147</t>
  </si>
  <si>
    <t>삼동580-1 의왕도시공사 800kW 신설</t>
  </si>
  <si>
    <t>JY25-149</t>
  </si>
  <si>
    <t>고천동48-13 외 2건 의왕시장 동관단자 인입접속</t>
  </si>
  <si>
    <t>JY25-165</t>
  </si>
  <si>
    <t>내손라구역 대우건설 160kW 신설공사 (상가용)</t>
  </si>
  <si>
    <t>JY25-172</t>
  </si>
  <si>
    <t>내손라구역 GS건설 300kW 신설 (상가용)</t>
  </si>
  <si>
    <t>JY25-188</t>
  </si>
  <si>
    <t>내손라구역 주택용 1500kW 신설 및 철거  (잠정공급설비)</t>
  </si>
  <si>
    <t>JY25-194</t>
  </si>
  <si>
    <t>관양동640-1 외 가로등 5Kw 12개소 신설</t>
  </si>
  <si>
    <t>JY25-210</t>
  </si>
  <si>
    <t>비산동305-44 한승도 저압 184kW 신설</t>
  </si>
  <si>
    <t>JY25-223</t>
  </si>
  <si>
    <t>학의동1164 (주)특수건설 50kW 신설</t>
  </si>
  <si>
    <t>JY25-224</t>
  </si>
  <si>
    <t>고천동 이규연 임시 4kW 신설</t>
  </si>
  <si>
    <t>JY25-241</t>
  </si>
  <si>
    <t>부곡동1247-6 디폰 고압 990kW 증설(첨단212-1)</t>
  </si>
  <si>
    <t>JY25-242</t>
  </si>
  <si>
    <t>고천동207-4 경기도군포의왕교육지원청 64kW 신설</t>
  </si>
  <si>
    <t>JY25-243</t>
  </si>
  <si>
    <t>안양동 200-14 SK 텔레콤 일반용(갑)저압 980kW 계약종별변경증설</t>
  </si>
  <si>
    <t>JY25-244</t>
  </si>
  <si>
    <t>호계동1167 만안교통 240kW 신설</t>
  </si>
  <si>
    <t>JY25-251</t>
  </si>
  <si>
    <t>호계동1003-8 호계1동사무 70kW 증설 외1건</t>
  </si>
  <si>
    <t>JY25-258</t>
  </si>
  <si>
    <t>초평지구 가로등 2개소 인입접속공사</t>
  </si>
  <si>
    <t>JY26-001</t>
  </si>
  <si>
    <t>평촌동895 한국환경공단 210kW 신설</t>
  </si>
  <si>
    <t>JY26-002</t>
  </si>
  <si>
    <t>월암동543-3 의왕시 임시 70kW 신설</t>
  </si>
  <si>
    <t>JY26-003</t>
  </si>
  <si>
    <t>안양동 695-66 권용호 일반용(갑)저압 10kw 공급방식변경증설</t>
  </si>
  <si>
    <t>JY26-005</t>
  </si>
  <si>
    <t>고천동 한영수 95kw 증설</t>
  </si>
  <si>
    <t>JY26-006</t>
  </si>
  <si>
    <t>내손동 824-7 계약자불명 주택용 5KW 단순공급방식변경</t>
  </si>
  <si>
    <t>JY26-008</t>
  </si>
  <si>
    <t>관양동1726 주식회사 홍화 임시 330KW 신설</t>
  </si>
  <si>
    <t>JY26-012</t>
  </si>
  <si>
    <t>2026년 안양군포의왕지사 지중저압설비 점검 및 보강공사</t>
  </si>
  <si>
    <t>JY26-013</t>
  </si>
  <si>
    <t>고천동227-4 고천프라자 350kw 신설</t>
  </si>
  <si>
    <t>JY26-015</t>
  </si>
  <si>
    <t>오전동212-1 퍼플패치 일반용 290kW 해지후재사용</t>
  </si>
  <si>
    <t>JY26-021</t>
  </si>
  <si>
    <t>고천동227-4 어반산업개발 115kw 신설</t>
  </si>
  <si>
    <t>JY26-023</t>
  </si>
  <si>
    <t>고천동 현대산업개발(주) 임시 950kw 신설</t>
  </si>
  <si>
    <t>JY26-024</t>
  </si>
  <si>
    <t>안양동674-53 김응경 일반용(갑)저압 18kw 공급지점변경</t>
  </si>
  <si>
    <t>JY26-025</t>
  </si>
  <si>
    <t>관양동501-3 경안푸드주식회사 임시 50kw 신설</t>
  </si>
  <si>
    <t>JY26-029</t>
  </si>
  <si>
    <t>호계동 165-5 (주)에스시큐리티 임시 5KW 신설</t>
  </si>
  <si>
    <t>JY26-030</t>
  </si>
  <si>
    <t>호계동1223 홍재성 주택용 40kW 계약종별변경증설</t>
  </si>
  <si>
    <t>JY26-032</t>
  </si>
  <si>
    <t>안양동 688 주식회사 미전종합건설 임시전력(을)저압 100kw 신설</t>
  </si>
  <si>
    <t>JY26-037</t>
  </si>
  <si>
    <t>2026년 지상개폐기 정기검사</t>
  </si>
  <si>
    <t>JY26-039</t>
  </si>
  <si>
    <t>평촌동984 안양시청 가로등(갑) 1kw 신설(상용/임시)</t>
  </si>
  <si>
    <t>JY26-046</t>
  </si>
  <si>
    <t>학의동641-5 의왕시청 저압 40kw 신설</t>
  </si>
  <si>
    <t>JY26-048</t>
  </si>
  <si>
    <t>오전동35-26 의왕가구거리협회 3kw 신설</t>
  </si>
  <si>
    <t>JY26-052</t>
  </si>
  <si>
    <t>산본동 군포시청 가로등(을) 17KW 신설(상용/임시)</t>
  </si>
  <si>
    <t>MY25-002</t>
  </si>
  <si>
    <t>고양외고 여자기숙사 간이스프링쿨러 설치공사</t>
  </si>
  <si>
    <t>MY25-003</t>
  </si>
  <si>
    <t>병점고 기숙사 스프링쿨러 설치 소방공사</t>
  </si>
  <si>
    <t>MY25-004</t>
  </si>
  <si>
    <t>상도중 LED조명설치 전기공사</t>
  </si>
  <si>
    <t>MY26-001</t>
  </si>
  <si>
    <t>상도중학교 추가공사</t>
  </si>
  <si>
    <t>MY26-002</t>
  </si>
  <si>
    <t>시험용 접속케이블 공사</t>
  </si>
  <si>
    <t>SG25-001</t>
  </si>
  <si>
    <t>25년 불량 지상변압기 교체공사</t>
  </si>
  <si>
    <t>SG25-002</t>
  </si>
  <si>
    <t>25년 노후 지상개폐기 교체공사</t>
  </si>
  <si>
    <t>SG25-004</t>
  </si>
  <si>
    <t>25년 노후 지상변압기 교체공사</t>
  </si>
  <si>
    <t>SG25-013</t>
  </si>
  <si>
    <t>25년 노후 지상변압기 교체공사(소하21-P1외)</t>
  </si>
  <si>
    <t>SG25-021</t>
  </si>
  <si>
    <t>소하동 광명시청 지장전주 이설공사(가리간809R19R1</t>
  </si>
  <si>
    <t>SG25-029</t>
  </si>
  <si>
    <t>노온사동 포스코이앤씨 지중케이블 외상고장 복구공사</t>
  </si>
  <si>
    <t>SG26-001</t>
  </si>
  <si>
    <t>철산동 광명도시공사 신축지장 이설공사</t>
  </si>
  <si>
    <t>SG26-006</t>
  </si>
  <si>
    <t>과림간46R34L9 입상케이블 종단접속재 교체공사(돌발)</t>
  </si>
  <si>
    <t>SG26-009</t>
  </si>
  <si>
    <t>광명시 노온사동 윤용철 차량충돌 복구공사</t>
  </si>
  <si>
    <t>SY25-001</t>
  </si>
  <si>
    <t>9617Z138 등 불량 저압입상점 보수공사</t>
  </si>
  <si>
    <t>SY25-013</t>
  </si>
  <si>
    <t>박달SW25 노후 및 파손 지상개폐기 교체공사</t>
  </si>
  <si>
    <t>SY25-015</t>
  </si>
  <si>
    <t>평촌동 934 롯데건설㈜ 지장케이블 이설</t>
  </si>
  <si>
    <t>SY25-019</t>
  </si>
  <si>
    <t>만안TR24외 26년 노후변압기선로 교체공사</t>
  </si>
  <si>
    <t>SY25-031</t>
  </si>
  <si>
    <t>안양동 190-11 지중외상 복구공사(에스제이이)</t>
  </si>
  <si>
    <t>SY25-036</t>
  </si>
  <si>
    <t>석수동 한국토지주택공사 안양천변도로 지장전주 이설공사</t>
  </si>
  <si>
    <t>SY25-037</t>
  </si>
  <si>
    <t>2025년 번호찰 정비공사 B지역(관악지 외)</t>
  </si>
  <si>
    <t>SY26-001</t>
  </si>
  <si>
    <t>박달SW32 돌발소손 지상개폐기 교체공사(에스제이이)</t>
  </si>
  <si>
    <t>SY26-005</t>
  </si>
  <si>
    <t>연화TR67외 26년경과 노후변압기선로 교체공사</t>
  </si>
  <si>
    <t>SY26-006</t>
  </si>
  <si>
    <t>(선)삼덕7 맨홀내 지중고장 복구공사</t>
  </si>
  <si>
    <t>SY26-007</t>
  </si>
  <si>
    <t>대농M/H4 저압케이블 소손 접속재 교체공사-SJE</t>
  </si>
  <si>
    <t>SY26-008</t>
  </si>
  <si>
    <t>(긴급)만안SW40 개폐기 열화고장 교체공사</t>
  </si>
  <si>
    <t>SY26-012</t>
  </si>
  <si>
    <t>(선)만안TR40 돌발소손 지상변압기 교체공사(에스제이이)</t>
  </si>
  <si>
    <t>SY26-014</t>
  </si>
  <si>
    <t>테크노SW11 일진제 특정제원 지상개폐기 교체외</t>
  </si>
  <si>
    <t>TY25-003</t>
  </si>
  <si>
    <t>TY25-004</t>
  </si>
  <si>
    <t>군포로 군포중 지중화공사</t>
  </si>
  <si>
    <t>TY25-005</t>
  </si>
  <si>
    <t>초평동 한국토지주택공사 지장전주공사</t>
  </si>
  <si>
    <t>TY25-006</t>
  </si>
  <si>
    <t>과천동 부림동 지중화공사</t>
  </si>
  <si>
    <t>TY25-007</t>
  </si>
  <si>
    <t>안양초 지중화</t>
  </si>
  <si>
    <t>5월 공사 공정현황</t>
  </si>
  <si>
    <t>구분</t>
  </si>
  <si>
    <t>No.</t>
  </si>
  <si>
    <t>목표 금액</t>
  </si>
  <si>
    <t>5월 실적</t>
  </si>
  <si>
    <t>공정률</t>
  </si>
  <si>
    <t>계획 공사</t>
  </si>
  <si>
    <t>계획</t>
  </si>
  <si>
    <t>삼천리 역세권 신규/보수공사
(저압접속함공사)</t>
  </si>
  <si>
    <t>계획 공사 소계</t>
  </si>
  <si>
    <t>계획 외 공사</t>
  </si>
  <si>
    <t>계획 외</t>
  </si>
  <si>
    <t>-</t>
  </si>
  <si>
    <t>계획 외 공사 소계</t>
  </si>
  <si>
    <t>(목표없음)</t>
  </si>
  <si>
    <t>▶ 5월 총 공정현황</t>
  </si>
  <si>
    <t>※ 총 공정률 = (계획 공사 실적 + 계획 외 공사 실적) ÷ 계획 공사 목표금액</t>
  </si>
  <si>
    <t>※ 총 공정률이 100%를 초과할 경우, 계획 외 공사 수행으로 인한 초과 달성을 의미합니다.</t>
  </si>
  <si>
    <t>합계</t>
  </si>
  <si>
    <t>JY26-045</t>
  </si>
  <si>
    <t>학의동1181 리젠시빌주택 고압 200kw 신설</t>
  </si>
  <si>
    <t>CG26-008</t>
  </si>
  <si>
    <t>2026년도 접속함 점검 및 청소 용역도급계약</t>
  </si>
  <si>
    <t>SG26-005</t>
  </si>
  <si>
    <t>26년 특정제원 지상개폐기 교체공사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</si>
</sst>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0" x14ac:knownFonts="1">
    <font>
      <sz val="11"/>
      <color rgb="FF000000"/>
      <name val="Calibri"/>
    </font>
    <font>
      <sz val="8"/>
      <name val="돋움"/>
      <family val="3"/>
      <charset val="129"/>
    </font>
    <font>
      <sz val="9"/>
      <color rgb="FF000000"/>
      <name val="Tahoma"/>
      <family val="2"/>
    </font>
    <font>
      <b/>
      <sz val="14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2"/>
      <color rgb="FFFFFFFF"/>
      <name val="Calibri"/>
      <family val="2"/>
    </font>
    <font>
      <sz val="9"/>
      <color rgb="FF595959"/>
      <name val="Calibri"/>
      <family val="2"/>
    </font>
    <font>
      <sz val="9"/>
      <color rgb="FF000000"/>
      <name val="Tahoma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0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C0FFFF"/>
      </patternFill>
    </fill>
    <fill>
      <patternFill patternType="solid">
        <fgColor rgb="FF1F4E7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 style="thin">
        <color rgb="FFA9A9A9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3" fontId="2" fillId="2" borderId="2" xfId="0" applyNumberFormat="1" applyFont="1" applyFill="1" applyBorder="1" applyAlignment="1">
      <alignment horizontal="right" vertical="center" wrapText="1"/>
    </xf>
    <xf numFmtId="3" fontId="2" fillId="3" borderId="2" xfId="0" applyNumberFormat="1" applyFont="1" applyFill="1" applyBorder="1" applyAlignment="1">
      <alignment horizontal="right" vertical="center" wrapText="1"/>
    </xf>
    <xf numFmtId="49" fontId="2" fillId="4" borderId="3" xfId="0" applyNumberFormat="1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top" wrapText="1"/>
    </xf>
    <xf numFmtId="49" fontId="2" fillId="5" borderId="2" xfId="0" applyNumberFormat="1" applyFont="1" applyFill="1" applyBorder="1" applyAlignment="1">
      <alignment horizontal="center" vertical="center" wrapText="1"/>
    </xf>
    <xf numFmtId="49" fontId="2" fillId="5" borderId="2" xfId="0" applyNumberFormat="1" applyFont="1" applyFill="1" applyBorder="1" applyAlignment="1">
      <alignment horizontal="left" vertical="center" wrapText="1"/>
    </xf>
    <xf numFmtId="3" fontId="2" fillId="5" borderId="2" xfId="0" applyNumberFormat="1" applyFont="1" applyFill="1" applyBorder="1" applyAlignment="1">
      <alignment horizontal="right" vertical="center" wrapText="1"/>
    </xf>
    <xf numFmtId="0" fontId="2" fillId="5" borderId="4" xfId="0" applyFont="1" applyFill="1" applyBorder="1" applyAlignment="1">
      <alignment horizontal="center" vertical="top" wrapText="1"/>
    </xf>
    <xf numFmtId="0" fontId="4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0" fillId="7" borderId="0" xfId="0" applyFill="1">
      <alignment vertical="center"/>
    </xf>
    <xf numFmtId="3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5" fillId="8" borderId="0" xfId="0" applyFont="1" applyFill="1">
      <alignment vertical="center"/>
    </xf>
    <xf numFmtId="0" fontId="0" fillId="8" borderId="0" xfId="0" applyFill="1">
      <alignment vertical="center"/>
    </xf>
    <xf numFmtId="3" fontId="5" fillId="8" borderId="0" xfId="0" applyNumberFormat="1" applyFont="1" applyFill="1">
      <alignment vertical="center"/>
    </xf>
    <xf numFmtId="176" fontId="5" fillId="8" borderId="0" xfId="0" applyNumberFormat="1" applyFont="1" applyFill="1">
      <alignment vertical="center"/>
    </xf>
    <xf numFmtId="0" fontId="5" fillId="9" borderId="0" xfId="0" applyFont="1" applyFill="1">
      <alignment vertical="center"/>
    </xf>
    <xf numFmtId="0" fontId="5" fillId="9" borderId="0" xfId="0" applyFont="1" applyFill="1" applyAlignment="1">
      <alignment horizontal="center" vertical="center"/>
    </xf>
    <xf numFmtId="0" fontId="0" fillId="9" borderId="0" xfId="0" applyFill="1">
      <alignment vertical="center"/>
    </xf>
    <xf numFmtId="3" fontId="5" fillId="9" borderId="0" xfId="0" applyNumberFormat="1" applyFont="1" applyFill="1">
      <alignment vertical="center"/>
    </xf>
    <xf numFmtId="0" fontId="6" fillId="6" borderId="0" xfId="0" applyFont="1" applyFill="1">
      <alignment vertical="center"/>
    </xf>
    <xf numFmtId="0" fontId="0" fillId="6" borderId="0" xfId="0" applyFill="1">
      <alignment vertical="center"/>
    </xf>
    <xf numFmtId="3" fontId="4" fillId="6" borderId="0" xfId="0" applyNumberFormat="1" applyFont="1" applyFill="1">
      <alignment vertical="center"/>
    </xf>
    <xf numFmtId="176" fontId="4" fillId="6" borderId="0" xfId="0" applyNumberFormat="1" applyFont="1" applyFill="1">
      <alignment vertical="center"/>
    </xf>
    <xf numFmtId="0" fontId="7" fillId="0" borderId="0" xfId="0" applyFont="1">
      <alignment vertical="center"/>
    </xf>
    <xf numFmtId="49" fontId="8" fillId="4" borderId="3" xfId="0" applyNumberFormat="1" applyFont="1" applyFill="1" applyBorder="1" applyAlignment="1">
      <alignment horizontal="center" vertical="top" wrapText="1"/>
    </xf>
    <xf numFmtId="0" fontId="9" fillId="10" borderId="0" xfId="0" applyFont="1" applyFill="1">
      <alignment vertical="center"/>
    </xf>
    <xf numFmtId="3" fontId="9" fillId="10" borderId="0" xfId="0" applyNumberFormat="1" applyFont="1" applyFill="1">
      <alignment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3B2FCBF-F6C6-4DE6-8D01-22196E20ACF7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a7aeab69-dacb-4f6b-9518-5b2a070f0dd5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721F-CABF-4395-9B06-2FFC3CB5EEB3}">
  <dimension ref="A1:F50"/>
  <sheetViews>
    <sheetView tabSelected="1" topLeftCell="A40" workbookViewId="0">
      <selection activeCell="H57" sqref="H57"/>
    </sheetView>
  </sheetViews>
  <sheetFormatPr defaultRowHeight="15" x14ac:dyDescent="0.25"/>
  <cols>
    <col min="1" max="1" width="15.28515625" customWidth="1"/>
    <col min="2" max="2" width="19" customWidth="1"/>
    <col min="3" max="3" width="57.140625" customWidth="1"/>
    <col min="4" max="5" width="21" customWidth="1"/>
    <col min="6" max="6" width="15.28515625" customWidth="1"/>
  </cols>
  <sheetData>
    <row r="1" spans="1:6" ht="30" customHeight="1" x14ac:dyDescent="0.25">
      <c r="A1" s="40" t="s">
        <v>220</v>
      </c>
      <c r="B1" s="40"/>
      <c r="C1" s="40"/>
      <c r="D1" s="40"/>
      <c r="E1" s="40"/>
      <c r="F1" s="40"/>
    </row>
    <row r="3" spans="1:6" ht="21.95" customHeight="1" x14ac:dyDescent="0.25">
      <c r="A3" s="18" t="s">
        <v>221</v>
      </c>
      <c r="B3" s="18" t="s">
        <v>222</v>
      </c>
      <c r="C3" s="18" t="s">
        <v>11</v>
      </c>
      <c r="D3" s="18" t="s">
        <v>223</v>
      </c>
      <c r="E3" s="18" t="s">
        <v>224</v>
      </c>
      <c r="F3" s="18" t="s">
        <v>225</v>
      </c>
    </row>
    <row r="4" spans="1:6" x14ac:dyDescent="0.25">
      <c r="A4" s="19" t="s">
        <v>226</v>
      </c>
      <c r="B4" s="20"/>
      <c r="C4" s="20"/>
      <c r="D4" s="20"/>
      <c r="E4" s="20"/>
      <c r="F4" s="20"/>
    </row>
    <row r="5" spans="1:6" x14ac:dyDescent="0.25">
      <c r="A5" t="s">
        <v>227</v>
      </c>
      <c r="B5" t="s">
        <v>1</v>
      </c>
      <c r="C5" t="s">
        <v>12</v>
      </c>
      <c r="D5" s="21">
        <v>26766000</v>
      </c>
      <c r="E5" s="21">
        <v>24089944.5</v>
      </c>
      <c r="F5" s="22">
        <f t="shared" ref="F5:F23" si="0">E5/D5</f>
        <v>0.90002034297242772</v>
      </c>
    </row>
    <row r="6" spans="1:6" x14ac:dyDescent="0.25">
      <c r="A6" t="s">
        <v>227</v>
      </c>
      <c r="B6" t="s">
        <v>2</v>
      </c>
      <c r="C6" t="s">
        <v>13</v>
      </c>
      <c r="D6" s="21">
        <v>218000</v>
      </c>
      <c r="E6" s="21">
        <v>218199.31</v>
      </c>
      <c r="F6" s="22">
        <f t="shared" si="0"/>
        <v>1.0009142660550459</v>
      </c>
    </row>
    <row r="7" spans="1:6" x14ac:dyDescent="0.25">
      <c r="A7" t="s">
        <v>227</v>
      </c>
      <c r="B7" t="s">
        <v>3</v>
      </c>
      <c r="C7" t="s">
        <v>14</v>
      </c>
      <c r="D7" s="21">
        <v>137000</v>
      </c>
      <c r="E7" s="21">
        <v>137269.82</v>
      </c>
      <c r="F7" s="22">
        <f t="shared" si="0"/>
        <v>1.0019694890510948</v>
      </c>
    </row>
    <row r="8" spans="1:6" x14ac:dyDescent="0.25">
      <c r="A8" t="s">
        <v>227</v>
      </c>
      <c r="B8" t="s">
        <v>4</v>
      </c>
      <c r="C8" t="s">
        <v>15</v>
      </c>
      <c r="D8" s="21">
        <v>203000</v>
      </c>
      <c r="E8" s="21">
        <v>203883.27</v>
      </c>
      <c r="F8" s="22">
        <f t="shared" si="0"/>
        <v>1.0043510837438423</v>
      </c>
    </row>
    <row r="9" spans="1:6" x14ac:dyDescent="0.25">
      <c r="A9" t="s">
        <v>227</v>
      </c>
      <c r="B9" t="s">
        <v>5</v>
      </c>
      <c r="C9" t="s">
        <v>16</v>
      </c>
      <c r="D9" s="21">
        <v>567000</v>
      </c>
      <c r="E9" s="21">
        <v>567348.56999999995</v>
      </c>
      <c r="F9" s="22">
        <f t="shared" si="0"/>
        <v>1.0006147619047618</v>
      </c>
    </row>
    <row r="10" spans="1:6" x14ac:dyDescent="0.25">
      <c r="A10" t="s">
        <v>227</v>
      </c>
      <c r="B10" t="s">
        <v>6</v>
      </c>
      <c r="C10" t="s">
        <v>17</v>
      </c>
      <c r="D10" s="21">
        <v>4264000</v>
      </c>
      <c r="E10" s="21">
        <v>0</v>
      </c>
      <c r="F10" s="22">
        <f t="shared" si="0"/>
        <v>0</v>
      </c>
    </row>
    <row r="11" spans="1:6" x14ac:dyDescent="0.25">
      <c r="A11" t="s">
        <v>227</v>
      </c>
      <c r="B11" t="s">
        <v>7</v>
      </c>
      <c r="C11" t="s">
        <v>18</v>
      </c>
      <c r="D11" s="21">
        <v>14229000</v>
      </c>
      <c r="E11" s="21">
        <v>4268792.84</v>
      </c>
      <c r="F11" s="22">
        <f t="shared" si="0"/>
        <v>0.30000652470307121</v>
      </c>
    </row>
    <row r="12" spans="1:6" x14ac:dyDescent="0.25">
      <c r="A12" t="s">
        <v>227</v>
      </c>
      <c r="B12" t="s">
        <v>8</v>
      </c>
      <c r="C12" t="s">
        <v>19</v>
      </c>
      <c r="D12" s="21">
        <v>39355000</v>
      </c>
      <c r="E12" s="21">
        <v>2361359.7400000002</v>
      </c>
      <c r="F12" s="22">
        <f t="shared" si="0"/>
        <v>6.0001517977385344E-2</v>
      </c>
    </row>
    <row r="13" spans="1:6" x14ac:dyDescent="0.25">
      <c r="A13" t="s">
        <v>227</v>
      </c>
      <c r="B13" t="s">
        <v>9</v>
      </c>
      <c r="C13" t="s">
        <v>20</v>
      </c>
      <c r="D13" s="21">
        <v>63316000</v>
      </c>
      <c r="E13" s="21">
        <v>17728563.670000002</v>
      </c>
      <c r="F13" s="22">
        <f t="shared" si="0"/>
        <v>0.2800013214669278</v>
      </c>
    </row>
    <row r="14" spans="1:6" x14ac:dyDescent="0.25">
      <c r="A14" t="s">
        <v>227</v>
      </c>
      <c r="B14" t="s">
        <v>211</v>
      </c>
      <c r="C14" t="s">
        <v>21</v>
      </c>
      <c r="D14" s="21">
        <v>30000000</v>
      </c>
      <c r="E14" s="21">
        <v>20288014.260000002</v>
      </c>
      <c r="F14" s="22">
        <f t="shared" si="0"/>
        <v>0.67626714200000004</v>
      </c>
    </row>
    <row r="15" spans="1:6" x14ac:dyDescent="0.25">
      <c r="A15" t="s">
        <v>227</v>
      </c>
      <c r="B15" t="s">
        <v>212</v>
      </c>
      <c r="C15" t="s">
        <v>26</v>
      </c>
      <c r="D15" s="21">
        <v>40000000</v>
      </c>
      <c r="E15" s="21">
        <v>40912430.469999999</v>
      </c>
      <c r="F15" s="22">
        <f t="shared" si="0"/>
        <v>1.02281076175</v>
      </c>
    </row>
    <row r="16" spans="1:6" ht="30" x14ac:dyDescent="0.25">
      <c r="A16" t="s">
        <v>227</v>
      </c>
      <c r="B16" t="s">
        <v>40</v>
      </c>
      <c r="C16" s="23" t="s">
        <v>228</v>
      </c>
      <c r="D16" s="21">
        <v>25000000</v>
      </c>
      <c r="E16" s="21">
        <v>0</v>
      </c>
      <c r="F16" s="22">
        <f t="shared" si="0"/>
        <v>0</v>
      </c>
    </row>
    <row r="17" spans="1:6" x14ac:dyDescent="0.25">
      <c r="A17" t="s">
        <v>227</v>
      </c>
      <c r="B17" t="s">
        <v>216</v>
      </c>
      <c r="C17" t="s">
        <v>27</v>
      </c>
      <c r="D17" s="21">
        <v>8000000</v>
      </c>
      <c r="E17" s="21">
        <v>0</v>
      </c>
      <c r="F17" s="22">
        <f t="shared" si="0"/>
        <v>0</v>
      </c>
    </row>
    <row r="18" spans="1:6" x14ac:dyDescent="0.25">
      <c r="A18" t="s">
        <v>227</v>
      </c>
      <c r="B18" t="s">
        <v>23</v>
      </c>
      <c r="C18" t="s">
        <v>28</v>
      </c>
      <c r="D18" s="21">
        <v>899000</v>
      </c>
      <c r="E18" s="21">
        <v>0</v>
      </c>
      <c r="F18" s="22">
        <f t="shared" si="0"/>
        <v>0</v>
      </c>
    </row>
    <row r="19" spans="1:6" x14ac:dyDescent="0.25">
      <c r="A19" t="s">
        <v>227</v>
      </c>
      <c r="B19" t="s">
        <v>24</v>
      </c>
      <c r="C19" t="s">
        <v>29</v>
      </c>
      <c r="D19" s="21">
        <v>20771000</v>
      </c>
      <c r="E19" s="21">
        <v>0</v>
      </c>
      <c r="F19" s="22">
        <f t="shared" si="0"/>
        <v>0</v>
      </c>
    </row>
    <row r="20" spans="1:6" x14ac:dyDescent="0.25">
      <c r="A20" t="s">
        <v>227</v>
      </c>
      <c r="B20" t="s">
        <v>25</v>
      </c>
      <c r="C20" t="s">
        <v>30</v>
      </c>
      <c r="D20" s="21">
        <v>4730000</v>
      </c>
      <c r="E20" s="21">
        <v>0</v>
      </c>
      <c r="F20" s="22">
        <f t="shared" si="0"/>
        <v>0</v>
      </c>
    </row>
    <row r="21" spans="1:6" x14ac:dyDescent="0.25">
      <c r="A21" t="s">
        <v>227</v>
      </c>
      <c r="B21" t="s">
        <v>31</v>
      </c>
      <c r="C21" t="s">
        <v>32</v>
      </c>
      <c r="D21" s="21">
        <v>7472000</v>
      </c>
      <c r="E21" s="21">
        <v>0</v>
      </c>
      <c r="F21" s="22">
        <f t="shared" si="0"/>
        <v>0</v>
      </c>
    </row>
    <row r="22" spans="1:6" x14ac:dyDescent="0.25">
      <c r="A22" t="s">
        <v>227</v>
      </c>
      <c r="B22" t="s">
        <v>33</v>
      </c>
      <c r="C22" t="s">
        <v>34</v>
      </c>
      <c r="D22" s="21">
        <v>1473000</v>
      </c>
      <c r="E22" s="21">
        <v>0</v>
      </c>
      <c r="F22" s="22">
        <f t="shared" si="0"/>
        <v>0</v>
      </c>
    </row>
    <row r="23" spans="1:6" x14ac:dyDescent="0.25">
      <c r="A23" t="s">
        <v>227</v>
      </c>
      <c r="B23" t="s">
        <v>35</v>
      </c>
      <c r="C23" t="s">
        <v>36</v>
      </c>
      <c r="D23" s="21">
        <v>14296000</v>
      </c>
      <c r="E23" s="21">
        <v>0</v>
      </c>
      <c r="F23" s="22">
        <f t="shared" si="0"/>
        <v>0</v>
      </c>
    </row>
    <row r="24" spans="1:6" x14ac:dyDescent="0.25">
      <c r="A24" s="24" t="s">
        <v>229</v>
      </c>
      <c r="B24" s="25"/>
      <c r="C24" s="25"/>
      <c r="D24" s="26">
        <f>SUM(D5:D23)</f>
        <v>301696000</v>
      </c>
      <c r="E24" s="26">
        <f>SUM(E5:E23)</f>
        <v>110775806.45</v>
      </c>
      <c r="F24" s="27">
        <f>IF(D24&gt;0,E24/D24,"-")</f>
        <v>0.36717691467570007</v>
      </c>
    </row>
    <row r="26" spans="1:6" x14ac:dyDescent="0.25">
      <c r="A26" s="29" t="s">
        <v>230</v>
      </c>
      <c r="B26" s="30"/>
      <c r="C26" s="30"/>
      <c r="D26" s="30"/>
      <c r="E26" s="30"/>
      <c r="F26" s="30"/>
    </row>
    <row r="27" spans="1:6" x14ac:dyDescent="0.25">
      <c r="A27" t="s">
        <v>231</v>
      </c>
      <c r="B27" t="s">
        <v>69</v>
      </c>
      <c r="C27" t="s">
        <v>70</v>
      </c>
      <c r="D27" t="s">
        <v>232</v>
      </c>
      <c r="E27" s="21">
        <v>71577.06</v>
      </c>
      <c r="F27" t="s">
        <v>232</v>
      </c>
    </row>
    <row r="28" spans="1:6" x14ac:dyDescent="0.25">
      <c r="A28" t="s">
        <v>231</v>
      </c>
      <c r="B28" t="s">
        <v>71</v>
      </c>
      <c r="C28" t="s">
        <v>72</v>
      </c>
      <c r="D28" t="s">
        <v>232</v>
      </c>
      <c r="E28" s="21">
        <v>71577.06</v>
      </c>
      <c r="F28" t="s">
        <v>232</v>
      </c>
    </row>
    <row r="29" spans="1:6" x14ac:dyDescent="0.25">
      <c r="A29" t="s">
        <v>231</v>
      </c>
      <c r="B29" t="s">
        <v>73</v>
      </c>
      <c r="C29" t="s">
        <v>74</v>
      </c>
      <c r="D29" t="s">
        <v>232</v>
      </c>
      <c r="E29" s="21">
        <v>71577.06</v>
      </c>
      <c r="F29" t="s">
        <v>232</v>
      </c>
    </row>
    <row r="30" spans="1:6" x14ac:dyDescent="0.25">
      <c r="A30" t="s">
        <v>231</v>
      </c>
      <c r="B30" t="s">
        <v>83</v>
      </c>
      <c r="C30" t="s">
        <v>84</v>
      </c>
      <c r="D30" t="s">
        <v>232</v>
      </c>
      <c r="E30" s="21">
        <v>3635049.03</v>
      </c>
      <c r="F30" t="s">
        <v>232</v>
      </c>
    </row>
    <row r="31" spans="1:6" x14ac:dyDescent="0.25">
      <c r="A31" t="s">
        <v>231</v>
      </c>
      <c r="B31" t="s">
        <v>87</v>
      </c>
      <c r="C31" t="s">
        <v>88</v>
      </c>
      <c r="D31" t="s">
        <v>232</v>
      </c>
      <c r="E31" s="21">
        <v>3558319.2</v>
      </c>
      <c r="F31" t="s">
        <v>232</v>
      </c>
    </row>
    <row r="32" spans="1:6" x14ac:dyDescent="0.25">
      <c r="A32" t="s">
        <v>231</v>
      </c>
      <c r="B32" t="s">
        <v>89</v>
      </c>
      <c r="C32" t="s">
        <v>90</v>
      </c>
      <c r="D32" t="s">
        <v>232</v>
      </c>
      <c r="E32" s="21">
        <v>3412259.4</v>
      </c>
      <c r="F32" t="s">
        <v>232</v>
      </c>
    </row>
    <row r="33" spans="1:6" x14ac:dyDescent="0.25">
      <c r="A33" t="s">
        <v>231</v>
      </c>
      <c r="B33" t="s">
        <v>91</v>
      </c>
      <c r="C33" t="s">
        <v>92</v>
      </c>
      <c r="D33" t="s">
        <v>232</v>
      </c>
      <c r="E33" s="21">
        <v>13158250.710000001</v>
      </c>
      <c r="F33" t="s">
        <v>232</v>
      </c>
    </row>
    <row r="34" spans="1:6" x14ac:dyDescent="0.25">
      <c r="A34" t="s">
        <v>231</v>
      </c>
      <c r="B34" t="s">
        <v>99</v>
      </c>
      <c r="C34" t="s">
        <v>100</v>
      </c>
      <c r="D34" t="s">
        <v>232</v>
      </c>
      <c r="E34" s="21">
        <v>336080.2</v>
      </c>
      <c r="F34" t="s">
        <v>232</v>
      </c>
    </row>
    <row r="35" spans="1:6" x14ac:dyDescent="0.25">
      <c r="A35" t="s">
        <v>231</v>
      </c>
      <c r="B35" t="s">
        <v>131</v>
      </c>
      <c r="C35" t="s">
        <v>132</v>
      </c>
      <c r="D35" t="s">
        <v>232</v>
      </c>
      <c r="E35" s="21">
        <v>716623.16</v>
      </c>
      <c r="F35" t="s">
        <v>232</v>
      </c>
    </row>
    <row r="36" spans="1:6" x14ac:dyDescent="0.25">
      <c r="A36" t="s">
        <v>231</v>
      </c>
      <c r="B36" t="s">
        <v>133</v>
      </c>
      <c r="C36" t="s">
        <v>134</v>
      </c>
      <c r="D36" t="s">
        <v>232</v>
      </c>
      <c r="E36" s="21">
        <v>564671.38</v>
      </c>
      <c r="F36" t="s">
        <v>232</v>
      </c>
    </row>
    <row r="37" spans="1:6" x14ac:dyDescent="0.25">
      <c r="A37" t="s">
        <v>231</v>
      </c>
      <c r="B37" t="s">
        <v>145</v>
      </c>
      <c r="C37" t="s">
        <v>146</v>
      </c>
      <c r="D37" t="s">
        <v>232</v>
      </c>
      <c r="E37" s="21">
        <v>1314589.32</v>
      </c>
      <c r="F37" t="s">
        <v>232</v>
      </c>
    </row>
    <row r="38" spans="1:6" x14ac:dyDescent="0.25">
      <c r="A38" t="s">
        <v>231</v>
      </c>
      <c r="B38" t="s">
        <v>147</v>
      </c>
      <c r="C38" t="s">
        <v>148</v>
      </c>
      <c r="D38" t="s">
        <v>232</v>
      </c>
      <c r="E38" s="21">
        <v>67810.92</v>
      </c>
      <c r="F38" t="s">
        <v>232</v>
      </c>
    </row>
    <row r="39" spans="1:6" x14ac:dyDescent="0.25">
      <c r="A39" t="s">
        <v>231</v>
      </c>
      <c r="B39" t="s">
        <v>149</v>
      </c>
      <c r="C39" t="s">
        <v>150</v>
      </c>
      <c r="D39" t="s">
        <v>232</v>
      </c>
      <c r="E39" s="21">
        <v>137269.82</v>
      </c>
      <c r="F39" t="s">
        <v>232</v>
      </c>
    </row>
    <row r="40" spans="1:6" x14ac:dyDescent="0.25">
      <c r="A40" t="s">
        <v>231</v>
      </c>
      <c r="B40" t="s">
        <v>151</v>
      </c>
      <c r="C40" t="s">
        <v>152</v>
      </c>
      <c r="D40" t="s">
        <v>232</v>
      </c>
      <c r="E40" s="21">
        <v>199314.38</v>
      </c>
      <c r="F40" t="s">
        <v>232</v>
      </c>
    </row>
    <row r="41" spans="1:6" x14ac:dyDescent="0.25">
      <c r="A41" t="s">
        <v>231</v>
      </c>
      <c r="B41" t="s">
        <v>153</v>
      </c>
      <c r="C41" t="s">
        <v>154</v>
      </c>
      <c r="D41" t="s">
        <v>232</v>
      </c>
      <c r="E41" s="21">
        <v>203883.27</v>
      </c>
      <c r="F41" t="s">
        <v>232</v>
      </c>
    </row>
    <row r="42" spans="1:6" x14ac:dyDescent="0.25">
      <c r="A42" s="38" t="s">
        <v>231</v>
      </c>
      <c r="B42" s="38" t="s">
        <v>239</v>
      </c>
      <c r="C42" s="38" t="s">
        <v>240</v>
      </c>
      <c r="D42" s="38" t="s">
        <v>232</v>
      </c>
      <c r="E42" s="39">
        <v>9234671.9499999993</v>
      </c>
      <c r="F42" s="38" t="s">
        <v>232</v>
      </c>
    </row>
    <row r="43" spans="1:6" x14ac:dyDescent="0.25">
      <c r="A43" s="38" t="s">
        <v>231</v>
      </c>
      <c r="B43" s="38" t="s">
        <v>243</v>
      </c>
      <c r="C43" s="38" t="s">
        <v>244</v>
      </c>
      <c r="D43" s="38" t="s">
        <v>232</v>
      </c>
      <c r="E43" s="39">
        <v>2425416.39</v>
      </c>
      <c r="F43" s="38" t="s">
        <v>232</v>
      </c>
    </row>
    <row r="44" spans="1:6" x14ac:dyDescent="0.25">
      <c r="A44" s="38" t="s">
        <v>231</v>
      </c>
      <c r="B44" s="38" t="s">
        <v>241</v>
      </c>
      <c r="C44" s="38" t="s">
        <v>242</v>
      </c>
      <c r="D44" s="38" t="s">
        <v>232</v>
      </c>
      <c r="E44" s="39">
        <v>11803000</v>
      </c>
      <c r="F44" s="38" t="s">
        <v>232</v>
      </c>
    </row>
    <row r="45" spans="1:6" x14ac:dyDescent="0.25">
      <c r="A45" s="28" t="s">
        <v>233</v>
      </c>
      <c r="B45" s="30"/>
      <c r="C45" s="30"/>
      <c r="D45" s="28" t="s">
        <v>234</v>
      </c>
      <c r="E45" s="31">
        <f>SUM(E27:E44)</f>
        <v>50981940.310000002</v>
      </c>
      <c r="F45" s="30" t="s">
        <v>232</v>
      </c>
    </row>
    <row r="47" spans="1:6" ht="15.75" x14ac:dyDescent="0.25">
      <c r="A47" s="32" t="s">
        <v>235</v>
      </c>
      <c r="B47" s="33"/>
      <c r="C47" s="33"/>
      <c r="D47" s="34">
        <f>D24</f>
        <v>301696000</v>
      </c>
      <c r="E47" s="34">
        <f>E24+E45</f>
        <v>161757746.75999999</v>
      </c>
      <c r="F47" s="35">
        <f>E47/D47</f>
        <v>0.53616139014106912</v>
      </c>
    </row>
    <row r="49" spans="1:1" x14ac:dyDescent="0.25">
      <c r="A49" s="36" t="s">
        <v>236</v>
      </c>
    </row>
    <row r="50" spans="1:1" x14ac:dyDescent="0.25">
      <c r="A50" s="36" t="s">
        <v>237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96115-EEB6-4F78-854F-4FD9BEBB1E74}">
  <dimension ref="A1:D307"/>
  <sheetViews>
    <sheetView topLeftCell="A60" workbookViewId="0">
      <selection activeCell="C72" sqref="C1:C1048576"/>
    </sheetView>
  </sheetViews>
  <sheetFormatPr defaultRowHeight="15" x14ac:dyDescent="0.25"/>
  <cols>
    <col min="3" max="3" width="12" bestFit="1" customWidth="1"/>
    <col min="4" max="4" width="13.85546875" bestFit="1" customWidth="1"/>
  </cols>
  <sheetData>
    <row r="1" spans="1:4" x14ac:dyDescent="0.25">
      <c r="A1" s="37" t="s">
        <v>0</v>
      </c>
      <c r="B1" s="3" t="s">
        <v>11</v>
      </c>
      <c r="C1" s="3" t="s">
        <v>37</v>
      </c>
      <c r="D1" s="3" t="s">
        <v>238</v>
      </c>
    </row>
    <row r="2" spans="1:4" x14ac:dyDescent="0.25">
      <c r="A2" s="4"/>
      <c r="B2" s="4"/>
      <c r="C2" s="4"/>
      <c r="D2" s="4"/>
    </row>
    <row r="3" spans="1:4" ht="56.25" x14ac:dyDescent="0.25">
      <c r="A3" s="5" t="s">
        <v>38</v>
      </c>
      <c r="B3" s="6" t="s">
        <v>39</v>
      </c>
      <c r="C3" s="2">
        <v>0</v>
      </c>
      <c r="D3" s="2">
        <v>0</v>
      </c>
    </row>
    <row r="4" spans="1:4" x14ac:dyDescent="0.25">
      <c r="A4" s="7"/>
      <c r="B4" s="7"/>
      <c r="C4" s="7"/>
      <c r="D4" s="7"/>
    </row>
    <row r="5" spans="1:4" x14ac:dyDescent="0.25">
      <c r="A5" s="8"/>
      <c r="B5" s="8"/>
      <c r="C5" s="8"/>
      <c r="D5" s="8"/>
    </row>
    <row r="6" spans="1:4" ht="56.25" x14ac:dyDescent="0.25">
      <c r="A6" s="9" t="s">
        <v>40</v>
      </c>
      <c r="B6" s="10" t="s">
        <v>41</v>
      </c>
      <c r="C6" s="1">
        <v>0</v>
      </c>
      <c r="D6" s="1">
        <v>18037500</v>
      </c>
    </row>
    <row r="7" spans="1:4" x14ac:dyDescent="0.25">
      <c r="A7" s="11"/>
      <c r="B7" s="11"/>
      <c r="C7" s="11"/>
      <c r="D7" s="11"/>
    </row>
    <row r="8" spans="1:4" x14ac:dyDescent="0.25">
      <c r="A8" s="4"/>
      <c r="B8" s="4"/>
      <c r="C8" s="4"/>
      <c r="D8" s="4"/>
    </row>
    <row r="9" spans="1:4" ht="67.5" x14ac:dyDescent="0.25">
      <c r="A9" s="5" t="s">
        <v>42</v>
      </c>
      <c r="B9" s="6" t="s">
        <v>43</v>
      </c>
      <c r="C9" s="2">
        <v>0</v>
      </c>
      <c r="D9" s="2">
        <v>124875</v>
      </c>
    </row>
    <row r="10" spans="1:4" x14ac:dyDescent="0.25">
      <c r="A10" s="7"/>
      <c r="B10" s="7"/>
      <c r="C10" s="7"/>
      <c r="D10" s="7"/>
    </row>
    <row r="11" spans="1:4" x14ac:dyDescent="0.25">
      <c r="A11" s="8"/>
      <c r="B11" s="8"/>
      <c r="C11" s="8"/>
      <c r="D11" s="8"/>
    </row>
    <row r="12" spans="1:4" ht="78.75" x14ac:dyDescent="0.25">
      <c r="A12" s="9" t="s">
        <v>44</v>
      </c>
      <c r="B12" s="10" t="s">
        <v>45</v>
      </c>
      <c r="C12" s="1">
        <v>0</v>
      </c>
      <c r="D12" s="1">
        <v>541125</v>
      </c>
    </row>
    <row r="13" spans="1:4" x14ac:dyDescent="0.25">
      <c r="A13" s="11"/>
      <c r="B13" s="11"/>
      <c r="C13" s="11"/>
      <c r="D13" s="11"/>
    </row>
    <row r="14" spans="1:4" x14ac:dyDescent="0.25">
      <c r="A14" s="4"/>
      <c r="B14" s="4"/>
      <c r="C14" s="4"/>
      <c r="D14" s="4"/>
    </row>
    <row r="15" spans="1:4" x14ac:dyDescent="0.25">
      <c r="A15" s="5" t="s">
        <v>46</v>
      </c>
      <c r="B15" s="12"/>
      <c r="C15" s="2">
        <v>0</v>
      </c>
      <c r="D15" s="2">
        <v>0</v>
      </c>
    </row>
    <row r="16" spans="1:4" x14ac:dyDescent="0.25">
      <c r="A16" s="7"/>
      <c r="B16" s="7"/>
      <c r="C16" s="7"/>
      <c r="D16" s="7"/>
    </row>
    <row r="17" spans="1:4" x14ac:dyDescent="0.25">
      <c r="A17" s="8"/>
      <c r="B17" s="8"/>
      <c r="C17" s="8"/>
      <c r="D17" s="8"/>
    </row>
    <row r="18" spans="1:4" ht="56.25" x14ac:dyDescent="0.25">
      <c r="A18" s="9" t="s">
        <v>47</v>
      </c>
      <c r="B18" s="10" t="s">
        <v>48</v>
      </c>
      <c r="C18" s="1">
        <v>0</v>
      </c>
      <c r="D18" s="1">
        <v>274329.78000000003</v>
      </c>
    </row>
    <row r="19" spans="1:4" x14ac:dyDescent="0.25">
      <c r="A19" s="11"/>
      <c r="B19" s="11"/>
      <c r="C19" s="11"/>
      <c r="D19" s="11"/>
    </row>
    <row r="20" spans="1:4" x14ac:dyDescent="0.25">
      <c r="A20" s="4"/>
      <c r="B20" s="4"/>
      <c r="C20" s="4"/>
      <c r="D20" s="4"/>
    </row>
    <row r="21" spans="1:4" ht="67.5" x14ac:dyDescent="0.25">
      <c r="A21" s="5" t="s">
        <v>49</v>
      </c>
      <c r="B21" s="6" t="s">
        <v>50</v>
      </c>
      <c r="C21" s="2">
        <v>0</v>
      </c>
      <c r="D21" s="2">
        <v>7204125.5499999998</v>
      </c>
    </row>
    <row r="22" spans="1:4" x14ac:dyDescent="0.25">
      <c r="A22" s="7"/>
      <c r="B22" s="7"/>
      <c r="C22" s="7"/>
      <c r="D22" s="7"/>
    </row>
    <row r="23" spans="1:4" x14ac:dyDescent="0.25">
      <c r="A23" s="8"/>
      <c r="B23" s="8"/>
      <c r="C23" s="8"/>
      <c r="D23" s="8"/>
    </row>
    <row r="24" spans="1:4" ht="78.75" x14ac:dyDescent="0.25">
      <c r="A24" s="9" t="s">
        <v>51</v>
      </c>
      <c r="B24" s="10" t="s">
        <v>52</v>
      </c>
      <c r="C24" s="1">
        <v>0</v>
      </c>
      <c r="D24" s="1">
        <v>181803.4</v>
      </c>
    </row>
    <row r="25" spans="1:4" x14ac:dyDescent="0.25">
      <c r="A25" s="11"/>
      <c r="B25" s="11"/>
      <c r="C25" s="11"/>
      <c r="D25" s="11"/>
    </row>
    <row r="26" spans="1:4" x14ac:dyDescent="0.25">
      <c r="A26" s="4"/>
      <c r="B26" s="4"/>
      <c r="C26" s="4"/>
      <c r="D26" s="4"/>
    </row>
    <row r="27" spans="1:4" ht="78.75" x14ac:dyDescent="0.25">
      <c r="A27" s="5" t="s">
        <v>53</v>
      </c>
      <c r="B27" s="6" t="s">
        <v>54</v>
      </c>
      <c r="C27" s="2">
        <v>0</v>
      </c>
      <c r="D27" s="2">
        <v>0</v>
      </c>
    </row>
    <row r="28" spans="1:4" x14ac:dyDescent="0.25">
      <c r="A28" s="7"/>
      <c r="B28" s="7"/>
      <c r="C28" s="7"/>
      <c r="D28" s="7"/>
    </row>
    <row r="29" spans="1:4" x14ac:dyDescent="0.25">
      <c r="A29" s="8"/>
      <c r="B29" s="8"/>
      <c r="C29" s="8"/>
      <c r="D29" s="8"/>
    </row>
    <row r="30" spans="1:4" ht="45" x14ac:dyDescent="0.25">
      <c r="A30" s="9" t="s">
        <v>55</v>
      </c>
      <c r="B30" s="10" t="s">
        <v>56</v>
      </c>
      <c r="C30" s="1">
        <v>0</v>
      </c>
      <c r="D30" s="1">
        <v>31991657.359999999</v>
      </c>
    </row>
    <row r="31" spans="1:4" x14ac:dyDescent="0.25">
      <c r="A31" s="11"/>
      <c r="B31" s="11"/>
      <c r="C31" s="11"/>
      <c r="D31" s="11"/>
    </row>
    <row r="32" spans="1:4" x14ac:dyDescent="0.25">
      <c r="A32" s="4"/>
      <c r="B32" s="4"/>
      <c r="C32" s="4"/>
      <c r="D32" s="4"/>
    </row>
    <row r="33" spans="1:4" ht="78.75" x14ac:dyDescent="0.25">
      <c r="A33" s="5" t="s">
        <v>57</v>
      </c>
      <c r="B33" s="6" t="s">
        <v>58</v>
      </c>
      <c r="C33" s="2">
        <v>0</v>
      </c>
      <c r="D33" s="2">
        <v>25562603.559999999</v>
      </c>
    </row>
    <row r="34" spans="1:4" x14ac:dyDescent="0.25">
      <c r="A34" s="7"/>
      <c r="B34" s="7"/>
      <c r="C34" s="7"/>
      <c r="D34" s="7"/>
    </row>
    <row r="35" spans="1:4" x14ac:dyDescent="0.25">
      <c r="A35" s="8"/>
      <c r="B35" s="8"/>
      <c r="C35" s="8"/>
      <c r="D35" s="8"/>
    </row>
    <row r="36" spans="1:4" ht="56.25" x14ac:dyDescent="0.25">
      <c r="A36" s="9" t="s">
        <v>59</v>
      </c>
      <c r="B36" s="10" t="s">
        <v>60</v>
      </c>
      <c r="C36" s="1">
        <v>0</v>
      </c>
      <c r="D36" s="1">
        <v>14714281.83</v>
      </c>
    </row>
    <row r="37" spans="1:4" x14ac:dyDescent="0.25">
      <c r="A37" s="11"/>
      <c r="B37" s="11"/>
      <c r="C37" s="11"/>
      <c r="D37" s="11"/>
    </row>
    <row r="38" spans="1:4" x14ac:dyDescent="0.25">
      <c r="A38" s="4"/>
      <c r="B38" s="4"/>
      <c r="C38" s="4"/>
      <c r="D38" s="4"/>
    </row>
    <row r="39" spans="1:4" ht="67.5" x14ac:dyDescent="0.25">
      <c r="A39" s="5" t="s">
        <v>61</v>
      </c>
      <c r="B39" s="6" t="s">
        <v>62</v>
      </c>
      <c r="C39" s="2">
        <v>0</v>
      </c>
      <c r="D39" s="2">
        <v>61029.83</v>
      </c>
    </row>
    <row r="40" spans="1:4" x14ac:dyDescent="0.25">
      <c r="A40" s="7"/>
      <c r="B40" s="7"/>
      <c r="C40" s="7"/>
      <c r="D40" s="7"/>
    </row>
    <row r="41" spans="1:4" x14ac:dyDescent="0.25">
      <c r="A41" s="8"/>
      <c r="B41" s="8"/>
      <c r="C41" s="8"/>
      <c r="D41" s="8"/>
    </row>
    <row r="42" spans="1:4" ht="90" x14ac:dyDescent="0.25">
      <c r="A42" s="9" t="s">
        <v>63</v>
      </c>
      <c r="B42" s="10" t="s">
        <v>64</v>
      </c>
      <c r="C42" s="1">
        <v>0</v>
      </c>
      <c r="D42" s="1">
        <v>125157.64</v>
      </c>
    </row>
    <row r="43" spans="1:4" x14ac:dyDescent="0.25">
      <c r="A43" s="11"/>
      <c r="B43" s="11"/>
      <c r="C43" s="11"/>
      <c r="D43" s="11"/>
    </row>
    <row r="44" spans="1:4" x14ac:dyDescent="0.25">
      <c r="A44" s="4"/>
      <c r="B44" s="4"/>
      <c r="C44" s="4"/>
      <c r="D44" s="4"/>
    </row>
    <row r="45" spans="1:4" ht="78.75" x14ac:dyDescent="0.25">
      <c r="A45" s="5" t="s">
        <v>65</v>
      </c>
      <c r="B45" s="6" t="s">
        <v>66</v>
      </c>
      <c r="C45" s="2">
        <v>0</v>
      </c>
      <c r="D45" s="2">
        <v>118376.46</v>
      </c>
    </row>
    <row r="46" spans="1:4" x14ac:dyDescent="0.25">
      <c r="A46" s="7"/>
      <c r="B46" s="7"/>
      <c r="C46" s="7"/>
      <c r="D46" s="7"/>
    </row>
    <row r="47" spans="1:4" x14ac:dyDescent="0.25">
      <c r="A47" s="8"/>
      <c r="B47" s="8"/>
      <c r="C47" s="8"/>
      <c r="D47" s="8"/>
    </row>
    <row r="48" spans="1:4" ht="78.75" x14ac:dyDescent="0.25">
      <c r="A48" s="9" t="s">
        <v>67</v>
      </c>
      <c r="B48" s="10" t="s">
        <v>68</v>
      </c>
      <c r="C48" s="1">
        <v>0</v>
      </c>
      <c r="D48" s="1">
        <v>282200.14</v>
      </c>
    </row>
    <row r="49" spans="1:4" x14ac:dyDescent="0.25">
      <c r="A49" s="11"/>
      <c r="B49" s="11"/>
      <c r="C49" s="11"/>
      <c r="D49" s="11"/>
    </row>
    <row r="50" spans="1:4" x14ac:dyDescent="0.25">
      <c r="A50" s="4"/>
      <c r="B50" s="4"/>
      <c r="C50" s="4"/>
      <c r="D50" s="4"/>
    </row>
    <row r="51" spans="1:4" ht="90" x14ac:dyDescent="0.25">
      <c r="A51" s="5" t="s">
        <v>69</v>
      </c>
      <c r="B51" s="6" t="s">
        <v>70</v>
      </c>
      <c r="C51" s="2">
        <v>71577.06</v>
      </c>
      <c r="D51" s="2">
        <v>71577.06</v>
      </c>
    </row>
    <row r="52" spans="1:4" x14ac:dyDescent="0.25">
      <c r="A52" s="7"/>
      <c r="B52" s="7"/>
      <c r="C52" s="7"/>
      <c r="D52" s="7"/>
    </row>
    <row r="53" spans="1:4" x14ac:dyDescent="0.25">
      <c r="A53" s="8"/>
      <c r="B53" s="8"/>
      <c r="C53" s="8"/>
      <c r="D53" s="8"/>
    </row>
    <row r="54" spans="1:4" ht="90" x14ac:dyDescent="0.25">
      <c r="A54" s="9" t="s">
        <v>71</v>
      </c>
      <c r="B54" s="10" t="s">
        <v>72</v>
      </c>
      <c r="C54" s="1">
        <v>71577.06</v>
      </c>
      <c r="D54" s="1">
        <v>71577.06</v>
      </c>
    </row>
    <row r="55" spans="1:4" x14ac:dyDescent="0.25">
      <c r="A55" s="11"/>
      <c r="B55" s="11"/>
      <c r="C55" s="11"/>
      <c r="D55" s="11"/>
    </row>
    <row r="56" spans="1:4" x14ac:dyDescent="0.25">
      <c r="A56" s="4"/>
      <c r="B56" s="4"/>
      <c r="C56" s="4"/>
      <c r="D56" s="4"/>
    </row>
    <row r="57" spans="1:4" ht="90" x14ac:dyDescent="0.25">
      <c r="A57" s="5" t="s">
        <v>73</v>
      </c>
      <c r="B57" s="6" t="s">
        <v>74</v>
      </c>
      <c r="C57" s="2">
        <v>71577.06</v>
      </c>
      <c r="D57" s="2">
        <v>71577.06</v>
      </c>
    </row>
    <row r="58" spans="1:4" x14ac:dyDescent="0.25">
      <c r="A58" s="7"/>
      <c r="B58" s="7"/>
      <c r="C58" s="7"/>
      <c r="D58" s="7"/>
    </row>
    <row r="59" spans="1:4" x14ac:dyDescent="0.25">
      <c r="A59" s="8"/>
      <c r="B59" s="8"/>
      <c r="C59" s="8"/>
      <c r="D59" s="8"/>
    </row>
    <row r="60" spans="1:4" ht="45" x14ac:dyDescent="0.25">
      <c r="A60" s="9" t="s">
        <v>75</v>
      </c>
      <c r="B60" s="10" t="s">
        <v>76</v>
      </c>
      <c r="C60" s="1">
        <v>0</v>
      </c>
      <c r="D60" s="1">
        <v>29179.63</v>
      </c>
    </row>
    <row r="61" spans="1:4" x14ac:dyDescent="0.25">
      <c r="A61" s="11"/>
      <c r="B61" s="11"/>
      <c r="C61" s="11"/>
      <c r="D61" s="11"/>
    </row>
    <row r="62" spans="1:4" x14ac:dyDescent="0.25">
      <c r="A62" s="4"/>
      <c r="B62" s="4"/>
      <c r="C62" s="4"/>
      <c r="D62" s="4"/>
    </row>
    <row r="63" spans="1:4" ht="56.25" x14ac:dyDescent="0.25">
      <c r="A63" s="5" t="s">
        <v>77</v>
      </c>
      <c r="B63" s="6" t="s">
        <v>78</v>
      </c>
      <c r="C63" s="2">
        <v>0</v>
      </c>
      <c r="D63" s="2">
        <v>35455175.579999998</v>
      </c>
    </row>
    <row r="64" spans="1:4" x14ac:dyDescent="0.25">
      <c r="A64" s="7"/>
      <c r="B64" s="7"/>
      <c r="C64" s="7"/>
      <c r="D64" s="7"/>
    </row>
    <row r="65" spans="1:4" x14ac:dyDescent="0.25">
      <c r="A65" s="8"/>
      <c r="B65" s="8"/>
      <c r="C65" s="8"/>
      <c r="D65" s="8"/>
    </row>
    <row r="66" spans="1:4" ht="90" x14ac:dyDescent="0.25">
      <c r="A66" s="9" t="s">
        <v>79</v>
      </c>
      <c r="B66" s="10" t="s">
        <v>80</v>
      </c>
      <c r="C66" s="1">
        <v>0</v>
      </c>
      <c r="D66" s="1">
        <v>5751521.5099999998</v>
      </c>
    </row>
    <row r="67" spans="1:4" x14ac:dyDescent="0.25">
      <c r="A67" s="11"/>
      <c r="B67" s="11"/>
      <c r="C67" s="11"/>
      <c r="D67" s="11"/>
    </row>
    <row r="68" spans="1:4" x14ac:dyDescent="0.25">
      <c r="A68" s="4"/>
      <c r="B68" s="4"/>
      <c r="C68" s="4"/>
      <c r="D68" s="4"/>
    </row>
    <row r="69" spans="1:4" ht="67.5" x14ac:dyDescent="0.25">
      <c r="A69" s="5" t="s">
        <v>81</v>
      </c>
      <c r="B69" s="6" t="s">
        <v>82</v>
      </c>
      <c r="C69" s="2">
        <v>0</v>
      </c>
      <c r="D69" s="2">
        <v>0</v>
      </c>
    </row>
    <row r="70" spans="1:4" x14ac:dyDescent="0.25">
      <c r="A70" s="7"/>
      <c r="B70" s="7"/>
      <c r="C70" s="7"/>
      <c r="D70" s="7"/>
    </row>
    <row r="71" spans="1:4" x14ac:dyDescent="0.25">
      <c r="A71" s="8"/>
      <c r="B71" s="8"/>
      <c r="C71" s="8"/>
      <c r="D71" s="8"/>
    </row>
    <row r="72" spans="1:4" ht="56.25" x14ac:dyDescent="0.25">
      <c r="A72" s="9" t="s">
        <v>83</v>
      </c>
      <c r="B72" s="10" t="s">
        <v>84</v>
      </c>
      <c r="C72" s="1">
        <v>3635049.03</v>
      </c>
      <c r="D72" s="1">
        <v>18175245.129999999</v>
      </c>
    </row>
    <row r="73" spans="1:4" x14ac:dyDescent="0.25">
      <c r="A73" s="11"/>
      <c r="B73" s="11"/>
      <c r="C73" s="11"/>
      <c r="D73" s="11"/>
    </row>
    <row r="74" spans="1:4" x14ac:dyDescent="0.25">
      <c r="A74" s="4"/>
      <c r="B74" s="4"/>
      <c r="C74" s="4"/>
      <c r="D74" s="4"/>
    </row>
    <row r="75" spans="1:4" ht="56.25" x14ac:dyDescent="0.25">
      <c r="A75" s="5" t="s">
        <v>85</v>
      </c>
      <c r="B75" s="6" t="s">
        <v>86</v>
      </c>
      <c r="C75" s="2">
        <v>0</v>
      </c>
      <c r="D75" s="2">
        <v>179390.72</v>
      </c>
    </row>
    <row r="76" spans="1:4" x14ac:dyDescent="0.25">
      <c r="A76" s="7"/>
      <c r="B76" s="7"/>
      <c r="C76" s="7"/>
      <c r="D76" s="7"/>
    </row>
    <row r="77" spans="1:4" x14ac:dyDescent="0.25">
      <c r="A77" s="8"/>
      <c r="B77" s="8"/>
      <c r="C77" s="8"/>
      <c r="D77" s="8"/>
    </row>
    <row r="78" spans="1:4" ht="56.25" x14ac:dyDescent="0.25">
      <c r="A78" s="9" t="s">
        <v>87</v>
      </c>
      <c r="B78" s="10" t="s">
        <v>88</v>
      </c>
      <c r="C78" s="1">
        <v>3558319.2</v>
      </c>
      <c r="D78" s="1">
        <v>3558319.2</v>
      </c>
    </row>
    <row r="79" spans="1:4" x14ac:dyDescent="0.25">
      <c r="A79" s="11"/>
      <c r="B79" s="11"/>
      <c r="C79" s="11"/>
      <c r="D79" s="11"/>
    </row>
    <row r="80" spans="1:4" x14ac:dyDescent="0.25">
      <c r="A80" s="4"/>
      <c r="B80" s="4"/>
      <c r="C80" s="4"/>
      <c r="D80" s="4"/>
    </row>
    <row r="81" spans="1:4" ht="56.25" x14ac:dyDescent="0.25">
      <c r="A81" s="5" t="s">
        <v>89</v>
      </c>
      <c r="B81" s="6" t="s">
        <v>90</v>
      </c>
      <c r="C81" s="2">
        <v>3412259.4</v>
      </c>
      <c r="D81" s="2">
        <v>10236778.199999999</v>
      </c>
    </row>
    <row r="82" spans="1:4" x14ac:dyDescent="0.25">
      <c r="A82" s="7"/>
      <c r="B82" s="7"/>
      <c r="C82" s="7"/>
      <c r="D82" s="7"/>
    </row>
    <row r="83" spans="1:4" x14ac:dyDescent="0.25">
      <c r="A83" s="8"/>
      <c r="B83" s="8"/>
      <c r="C83" s="8"/>
      <c r="D83" s="8"/>
    </row>
    <row r="84" spans="1:4" ht="67.5" x14ac:dyDescent="0.25">
      <c r="A84" s="9" t="s">
        <v>91</v>
      </c>
      <c r="B84" s="10" t="s">
        <v>92</v>
      </c>
      <c r="C84" s="1">
        <v>13158250.710000001</v>
      </c>
      <c r="D84" s="1">
        <v>13158250.710000001</v>
      </c>
    </row>
    <row r="85" spans="1:4" x14ac:dyDescent="0.25">
      <c r="A85" s="11"/>
      <c r="B85" s="11"/>
      <c r="C85" s="11"/>
      <c r="D85" s="11"/>
    </row>
    <row r="86" spans="1:4" x14ac:dyDescent="0.25">
      <c r="A86" s="4"/>
      <c r="B86" s="4"/>
      <c r="C86" s="4"/>
      <c r="D86" s="4"/>
    </row>
    <row r="87" spans="1:4" ht="56.25" x14ac:dyDescent="0.25">
      <c r="A87" s="5" t="s">
        <v>93</v>
      </c>
      <c r="B87" s="6" t="s">
        <v>94</v>
      </c>
      <c r="C87" s="2">
        <v>0</v>
      </c>
      <c r="D87" s="2">
        <v>478335.63</v>
      </c>
    </row>
    <row r="88" spans="1:4" x14ac:dyDescent="0.25">
      <c r="A88" s="7"/>
      <c r="B88" s="7"/>
      <c r="C88" s="7"/>
      <c r="D88" s="7"/>
    </row>
    <row r="89" spans="1:4" x14ac:dyDescent="0.25">
      <c r="A89" s="8"/>
      <c r="B89" s="8"/>
      <c r="C89" s="8"/>
      <c r="D89" s="8"/>
    </row>
    <row r="90" spans="1:4" ht="56.25" x14ac:dyDescent="0.25">
      <c r="A90" s="9" t="s">
        <v>95</v>
      </c>
      <c r="B90" s="10" t="s">
        <v>96</v>
      </c>
      <c r="C90" s="1">
        <v>0</v>
      </c>
      <c r="D90" s="1">
        <v>1215867.69</v>
      </c>
    </row>
    <row r="91" spans="1:4" x14ac:dyDescent="0.25">
      <c r="A91" s="11"/>
      <c r="B91" s="11"/>
      <c r="C91" s="11"/>
      <c r="D91" s="11"/>
    </row>
    <row r="92" spans="1:4" x14ac:dyDescent="0.25">
      <c r="A92" s="4"/>
      <c r="B92" s="4"/>
      <c r="C92" s="4"/>
      <c r="D92" s="4"/>
    </row>
    <row r="93" spans="1:4" ht="56.25" x14ac:dyDescent="0.25">
      <c r="A93" s="5" t="s">
        <v>97</v>
      </c>
      <c r="B93" s="6" t="s">
        <v>98</v>
      </c>
      <c r="C93" s="2">
        <v>0</v>
      </c>
      <c r="D93" s="2">
        <v>181803.1</v>
      </c>
    </row>
    <row r="94" spans="1:4" x14ac:dyDescent="0.25">
      <c r="A94" s="7"/>
      <c r="B94" s="7"/>
      <c r="C94" s="7"/>
      <c r="D94" s="7"/>
    </row>
    <row r="95" spans="1:4" x14ac:dyDescent="0.25">
      <c r="A95" s="8"/>
      <c r="B95" s="8"/>
      <c r="C95" s="8"/>
      <c r="D95" s="8"/>
    </row>
    <row r="96" spans="1:4" ht="33.75" x14ac:dyDescent="0.25">
      <c r="A96" s="9" t="s">
        <v>99</v>
      </c>
      <c r="B96" s="10" t="s">
        <v>100</v>
      </c>
      <c r="C96" s="1">
        <v>336080.2</v>
      </c>
      <c r="D96" s="1">
        <v>336080.2</v>
      </c>
    </row>
    <row r="97" spans="1:4" x14ac:dyDescent="0.25">
      <c r="A97" s="11"/>
      <c r="B97" s="11"/>
      <c r="C97" s="11"/>
      <c r="D97" s="11"/>
    </row>
    <row r="98" spans="1:4" x14ac:dyDescent="0.25">
      <c r="A98" s="4"/>
      <c r="B98" s="4"/>
      <c r="C98" s="4"/>
      <c r="D98" s="4"/>
    </row>
    <row r="99" spans="1:4" ht="67.5" x14ac:dyDescent="0.25">
      <c r="A99" s="5" t="s">
        <v>101</v>
      </c>
      <c r="B99" s="6" t="s">
        <v>102</v>
      </c>
      <c r="C99" s="2">
        <v>0</v>
      </c>
      <c r="D99" s="2">
        <v>4873420.45</v>
      </c>
    </row>
    <row r="100" spans="1:4" x14ac:dyDescent="0.25">
      <c r="A100" s="7"/>
      <c r="B100" s="7"/>
      <c r="C100" s="7"/>
      <c r="D100" s="7"/>
    </row>
    <row r="101" spans="1:4" x14ac:dyDescent="0.25">
      <c r="A101" s="8"/>
      <c r="B101" s="8"/>
      <c r="C101" s="8"/>
      <c r="D101" s="8"/>
    </row>
    <row r="102" spans="1:4" ht="78.75" x14ac:dyDescent="0.25">
      <c r="A102" s="9" t="s">
        <v>103</v>
      </c>
      <c r="B102" s="10" t="s">
        <v>104</v>
      </c>
      <c r="C102" s="1">
        <v>0</v>
      </c>
      <c r="D102" s="1">
        <v>1383029.09</v>
      </c>
    </row>
    <row r="103" spans="1:4" x14ac:dyDescent="0.25">
      <c r="A103" s="11"/>
      <c r="B103" s="11"/>
      <c r="C103" s="11"/>
      <c r="D103" s="11"/>
    </row>
    <row r="104" spans="1:4" x14ac:dyDescent="0.25">
      <c r="A104" s="4"/>
      <c r="B104" s="4"/>
      <c r="C104" s="4"/>
      <c r="D104" s="4"/>
    </row>
    <row r="105" spans="1:4" ht="78.75" x14ac:dyDescent="0.25">
      <c r="A105" s="5" t="s">
        <v>105</v>
      </c>
      <c r="B105" s="6" t="s">
        <v>106</v>
      </c>
      <c r="C105" s="2">
        <v>0</v>
      </c>
      <c r="D105" s="2">
        <v>6775665.2999999998</v>
      </c>
    </row>
    <row r="106" spans="1:4" x14ac:dyDescent="0.25">
      <c r="A106" s="7"/>
      <c r="B106" s="7"/>
      <c r="C106" s="7"/>
      <c r="D106" s="7"/>
    </row>
    <row r="107" spans="1:4" x14ac:dyDescent="0.25">
      <c r="A107" s="8"/>
      <c r="B107" s="8"/>
      <c r="C107" s="8"/>
      <c r="D107" s="8"/>
    </row>
    <row r="108" spans="1:4" ht="56.25" x14ac:dyDescent="0.25">
      <c r="A108" s="9" t="s">
        <v>107</v>
      </c>
      <c r="B108" s="10" t="s">
        <v>108</v>
      </c>
      <c r="C108" s="1">
        <v>0</v>
      </c>
      <c r="D108" s="1">
        <v>8105644</v>
      </c>
    </row>
    <row r="109" spans="1:4" x14ac:dyDescent="0.25">
      <c r="A109" s="11"/>
      <c r="B109" s="11"/>
      <c r="C109" s="11"/>
      <c r="D109" s="11"/>
    </row>
    <row r="110" spans="1:4" x14ac:dyDescent="0.25">
      <c r="A110" s="4"/>
      <c r="B110" s="4"/>
      <c r="C110" s="4"/>
      <c r="D110" s="4"/>
    </row>
    <row r="111" spans="1:4" ht="56.25" x14ac:dyDescent="0.25">
      <c r="A111" s="5" t="s">
        <v>109</v>
      </c>
      <c r="B111" s="6" t="s">
        <v>110</v>
      </c>
      <c r="C111" s="2">
        <v>0</v>
      </c>
      <c r="D111" s="2">
        <v>159854.39999999999</v>
      </c>
    </row>
    <row r="112" spans="1:4" x14ac:dyDescent="0.25">
      <c r="A112" s="7"/>
      <c r="B112" s="7"/>
      <c r="C112" s="7"/>
      <c r="D112" s="7"/>
    </row>
    <row r="113" spans="1:4" x14ac:dyDescent="0.25">
      <c r="A113" s="8"/>
      <c r="B113" s="8"/>
      <c r="C113" s="8"/>
      <c r="D113" s="8"/>
    </row>
    <row r="114" spans="1:4" ht="67.5" x14ac:dyDescent="0.25">
      <c r="A114" s="9" t="s">
        <v>1</v>
      </c>
      <c r="B114" s="10" t="s">
        <v>12</v>
      </c>
      <c r="C114" s="1">
        <v>24089944.5</v>
      </c>
      <c r="D114" s="1">
        <v>24089944.5</v>
      </c>
    </row>
    <row r="115" spans="1:4" x14ac:dyDescent="0.25">
      <c r="A115" s="11"/>
      <c r="B115" s="11"/>
      <c r="C115" s="11"/>
      <c r="D115" s="11"/>
    </row>
    <row r="116" spans="1:4" x14ac:dyDescent="0.25">
      <c r="A116" s="4"/>
      <c r="B116" s="4"/>
      <c r="C116" s="4"/>
      <c r="D116" s="4"/>
    </row>
    <row r="117" spans="1:4" ht="45" x14ac:dyDescent="0.25">
      <c r="A117" s="5" t="s">
        <v>111</v>
      </c>
      <c r="B117" s="6" t="s">
        <v>112</v>
      </c>
      <c r="C117" s="2">
        <v>0</v>
      </c>
      <c r="D117" s="2">
        <v>283322.3</v>
      </c>
    </row>
    <row r="118" spans="1:4" x14ac:dyDescent="0.25">
      <c r="A118" s="7"/>
      <c r="B118" s="7"/>
      <c r="C118" s="7"/>
      <c r="D118" s="7"/>
    </row>
    <row r="119" spans="1:4" x14ac:dyDescent="0.25">
      <c r="A119" s="8"/>
      <c r="B119" s="8"/>
      <c r="C119" s="8"/>
      <c r="D119" s="8"/>
    </row>
    <row r="120" spans="1:4" ht="56.25" x14ac:dyDescent="0.25">
      <c r="A120" s="9" t="s">
        <v>113</v>
      </c>
      <c r="B120" s="10" t="s">
        <v>114</v>
      </c>
      <c r="C120" s="1">
        <v>0</v>
      </c>
      <c r="D120" s="1">
        <v>12087832.5</v>
      </c>
    </row>
    <row r="121" spans="1:4" x14ac:dyDescent="0.25">
      <c r="A121" s="11"/>
      <c r="B121" s="11"/>
      <c r="C121" s="11"/>
      <c r="D121" s="11"/>
    </row>
    <row r="122" spans="1:4" x14ac:dyDescent="0.25">
      <c r="A122" s="4"/>
      <c r="B122" s="4"/>
      <c r="C122" s="4"/>
      <c r="D122" s="4"/>
    </row>
    <row r="123" spans="1:4" ht="56.25" x14ac:dyDescent="0.25">
      <c r="A123" s="5" t="s">
        <v>115</v>
      </c>
      <c r="B123" s="6" t="s">
        <v>116</v>
      </c>
      <c r="C123" s="2">
        <v>0</v>
      </c>
      <c r="D123" s="2">
        <v>181803.4</v>
      </c>
    </row>
    <row r="124" spans="1:4" x14ac:dyDescent="0.25">
      <c r="A124" s="7"/>
      <c r="B124" s="7"/>
      <c r="C124" s="7"/>
      <c r="D124" s="7"/>
    </row>
    <row r="125" spans="1:4" x14ac:dyDescent="0.25">
      <c r="A125" s="8"/>
      <c r="B125" s="8"/>
      <c r="C125" s="8"/>
      <c r="D125" s="8"/>
    </row>
    <row r="126" spans="1:4" ht="78.75" x14ac:dyDescent="0.25">
      <c r="A126" s="9" t="s">
        <v>117</v>
      </c>
      <c r="B126" s="10" t="s">
        <v>118</v>
      </c>
      <c r="C126" s="1">
        <v>0</v>
      </c>
      <c r="D126" s="1">
        <v>788788.41</v>
      </c>
    </row>
    <row r="127" spans="1:4" x14ac:dyDescent="0.25">
      <c r="A127" s="11"/>
      <c r="B127" s="11"/>
      <c r="C127" s="11"/>
      <c r="D127" s="11"/>
    </row>
    <row r="128" spans="1:4" x14ac:dyDescent="0.25">
      <c r="A128" s="4"/>
      <c r="B128" s="4"/>
      <c r="C128" s="4"/>
      <c r="D128" s="4"/>
    </row>
    <row r="129" spans="1:4" ht="33.75" x14ac:dyDescent="0.25">
      <c r="A129" s="5" t="s">
        <v>119</v>
      </c>
      <c r="B129" s="6" t="s">
        <v>120</v>
      </c>
      <c r="C129" s="2">
        <v>0</v>
      </c>
      <c r="D129" s="2">
        <v>599108.11</v>
      </c>
    </row>
    <row r="130" spans="1:4" x14ac:dyDescent="0.25">
      <c r="A130" s="7"/>
      <c r="B130" s="7"/>
      <c r="C130" s="7"/>
      <c r="D130" s="7"/>
    </row>
    <row r="131" spans="1:4" x14ac:dyDescent="0.25">
      <c r="A131" s="8"/>
      <c r="B131" s="8"/>
      <c r="C131" s="8"/>
      <c r="D131" s="8"/>
    </row>
    <row r="132" spans="1:4" ht="78.75" x14ac:dyDescent="0.25">
      <c r="A132" s="9" t="s">
        <v>121</v>
      </c>
      <c r="B132" s="10" t="s">
        <v>122</v>
      </c>
      <c r="C132" s="1">
        <v>0</v>
      </c>
      <c r="D132" s="1">
        <v>195625.92</v>
      </c>
    </row>
    <row r="133" spans="1:4" x14ac:dyDescent="0.25">
      <c r="A133" s="11"/>
      <c r="B133" s="11"/>
      <c r="C133" s="11"/>
      <c r="D133" s="11"/>
    </row>
    <row r="134" spans="1:4" x14ac:dyDescent="0.25">
      <c r="A134" s="4"/>
      <c r="B134" s="4"/>
      <c r="C134" s="4"/>
      <c r="D134" s="4"/>
    </row>
    <row r="135" spans="1:4" ht="67.5" x14ac:dyDescent="0.25">
      <c r="A135" s="5" t="s">
        <v>123</v>
      </c>
      <c r="B135" s="6" t="s">
        <v>124</v>
      </c>
      <c r="C135" s="2">
        <v>0</v>
      </c>
      <c r="D135" s="2">
        <v>65578.87</v>
      </c>
    </row>
    <row r="136" spans="1:4" x14ac:dyDescent="0.25">
      <c r="A136" s="7"/>
      <c r="B136" s="7"/>
      <c r="C136" s="7"/>
      <c r="D136" s="7"/>
    </row>
    <row r="137" spans="1:4" x14ac:dyDescent="0.25">
      <c r="A137" s="8"/>
      <c r="B137" s="8"/>
      <c r="C137" s="8"/>
      <c r="D137" s="8"/>
    </row>
    <row r="138" spans="1:4" ht="67.5" x14ac:dyDescent="0.25">
      <c r="A138" s="9" t="s">
        <v>125</v>
      </c>
      <c r="B138" s="10" t="s">
        <v>126</v>
      </c>
      <c r="C138" s="1">
        <v>0</v>
      </c>
      <c r="D138" s="1">
        <v>94079929.549999997</v>
      </c>
    </row>
    <row r="139" spans="1:4" x14ac:dyDescent="0.25">
      <c r="A139" s="11"/>
      <c r="B139" s="11"/>
      <c r="C139" s="11"/>
      <c r="D139" s="11"/>
    </row>
    <row r="140" spans="1:4" x14ac:dyDescent="0.25">
      <c r="A140" s="4"/>
      <c r="B140" s="4"/>
      <c r="C140" s="4"/>
      <c r="D140" s="4"/>
    </row>
    <row r="141" spans="1:4" ht="56.25" x14ac:dyDescent="0.25">
      <c r="A141" s="5" t="s">
        <v>127</v>
      </c>
      <c r="B141" s="6" t="s">
        <v>128</v>
      </c>
      <c r="C141" s="2">
        <v>0</v>
      </c>
      <c r="D141" s="2">
        <v>17062682.469999999</v>
      </c>
    </row>
    <row r="142" spans="1:4" x14ac:dyDescent="0.25">
      <c r="A142" s="7"/>
      <c r="B142" s="7"/>
      <c r="C142" s="7"/>
      <c r="D142" s="7"/>
    </row>
    <row r="143" spans="1:4" x14ac:dyDescent="0.25">
      <c r="A143" s="8"/>
      <c r="B143" s="8"/>
      <c r="C143" s="8"/>
      <c r="D143" s="8"/>
    </row>
    <row r="144" spans="1:4" ht="78.75" x14ac:dyDescent="0.25">
      <c r="A144" s="9" t="s">
        <v>129</v>
      </c>
      <c r="B144" s="10" t="s">
        <v>130</v>
      </c>
      <c r="C144" s="1">
        <v>0</v>
      </c>
      <c r="D144" s="1">
        <v>508343.65</v>
      </c>
    </row>
    <row r="145" spans="1:4" x14ac:dyDescent="0.25">
      <c r="A145" s="11"/>
      <c r="B145" s="11"/>
      <c r="C145" s="11"/>
      <c r="D145" s="11"/>
    </row>
    <row r="146" spans="1:4" x14ac:dyDescent="0.25">
      <c r="A146" s="4"/>
      <c r="B146" s="4"/>
      <c r="C146" s="4"/>
      <c r="D146" s="4"/>
    </row>
    <row r="147" spans="1:4" ht="56.25" x14ac:dyDescent="0.25">
      <c r="A147" s="5" t="s">
        <v>131</v>
      </c>
      <c r="B147" s="6" t="s">
        <v>132</v>
      </c>
      <c r="C147" s="2">
        <v>716623.16</v>
      </c>
      <c r="D147" s="2">
        <v>3583115.8</v>
      </c>
    </row>
    <row r="148" spans="1:4" x14ac:dyDescent="0.25">
      <c r="A148" s="7"/>
      <c r="B148" s="7"/>
      <c r="C148" s="7"/>
      <c r="D148" s="7"/>
    </row>
    <row r="149" spans="1:4" x14ac:dyDescent="0.25">
      <c r="A149" s="8"/>
      <c r="B149" s="8"/>
      <c r="C149" s="8"/>
      <c r="D149" s="8"/>
    </row>
    <row r="150" spans="1:4" ht="67.5" x14ac:dyDescent="0.25">
      <c r="A150" s="9" t="s">
        <v>2</v>
      </c>
      <c r="B150" s="10" t="s">
        <v>13</v>
      </c>
      <c r="C150" s="1">
        <v>218199.31</v>
      </c>
      <c r="D150" s="1">
        <v>218199.31</v>
      </c>
    </row>
    <row r="151" spans="1:4" x14ac:dyDescent="0.25">
      <c r="A151" s="11"/>
      <c r="B151" s="11"/>
      <c r="C151" s="11"/>
      <c r="D151" s="11"/>
    </row>
    <row r="152" spans="1:4" x14ac:dyDescent="0.25">
      <c r="A152" s="4"/>
      <c r="B152" s="4"/>
      <c r="C152" s="4"/>
      <c r="D152" s="4"/>
    </row>
    <row r="153" spans="1:4" ht="56.25" x14ac:dyDescent="0.25">
      <c r="A153" s="5" t="s">
        <v>133</v>
      </c>
      <c r="B153" s="6" t="s">
        <v>134</v>
      </c>
      <c r="C153" s="2">
        <v>564671.38</v>
      </c>
      <c r="D153" s="2">
        <v>564671.38</v>
      </c>
    </row>
    <row r="154" spans="1:4" x14ac:dyDescent="0.25">
      <c r="A154" s="7"/>
      <c r="B154" s="7"/>
      <c r="C154" s="7"/>
      <c r="D154" s="7"/>
    </row>
    <row r="155" spans="1:4" x14ac:dyDescent="0.25">
      <c r="A155" s="8"/>
      <c r="B155" s="8"/>
      <c r="C155" s="8"/>
      <c r="D155" s="8"/>
    </row>
    <row r="156" spans="1:4" ht="67.5" x14ac:dyDescent="0.25">
      <c r="A156" s="9" t="s">
        <v>135</v>
      </c>
      <c r="B156" s="10" t="s">
        <v>136</v>
      </c>
      <c r="C156" s="1">
        <v>0</v>
      </c>
      <c r="D156" s="1">
        <v>183494.94</v>
      </c>
    </row>
    <row r="157" spans="1:4" x14ac:dyDescent="0.25">
      <c r="A157" s="11"/>
      <c r="B157" s="11"/>
      <c r="C157" s="11"/>
      <c r="D157" s="11"/>
    </row>
    <row r="158" spans="1:4" x14ac:dyDescent="0.25">
      <c r="A158" s="4"/>
      <c r="B158" s="4"/>
      <c r="C158" s="4"/>
      <c r="D158" s="4"/>
    </row>
    <row r="159" spans="1:4" ht="67.5" x14ac:dyDescent="0.25">
      <c r="A159" s="5" t="s">
        <v>137</v>
      </c>
      <c r="B159" s="6" t="s">
        <v>138</v>
      </c>
      <c r="C159" s="2">
        <v>0</v>
      </c>
      <c r="D159" s="2">
        <v>121347.78</v>
      </c>
    </row>
    <row r="160" spans="1:4" x14ac:dyDescent="0.25">
      <c r="A160" s="7"/>
      <c r="B160" s="7"/>
      <c r="C160" s="7"/>
      <c r="D160" s="7"/>
    </row>
    <row r="161" spans="1:4" x14ac:dyDescent="0.25">
      <c r="A161" s="8"/>
      <c r="B161" s="8"/>
      <c r="C161" s="8"/>
      <c r="D161" s="8"/>
    </row>
    <row r="162" spans="1:4" ht="56.25" x14ac:dyDescent="0.25">
      <c r="A162" s="9" t="s">
        <v>139</v>
      </c>
      <c r="B162" s="10" t="s">
        <v>140</v>
      </c>
      <c r="C162" s="1">
        <v>0</v>
      </c>
      <c r="D162" s="1">
        <v>61029.83</v>
      </c>
    </row>
    <row r="163" spans="1:4" x14ac:dyDescent="0.25">
      <c r="A163" s="11"/>
      <c r="B163" s="11"/>
      <c r="C163" s="11"/>
      <c r="D163" s="11"/>
    </row>
    <row r="164" spans="1:4" x14ac:dyDescent="0.25">
      <c r="A164" s="4"/>
      <c r="B164" s="4"/>
      <c r="C164" s="4"/>
      <c r="D164" s="4"/>
    </row>
    <row r="165" spans="1:4" ht="67.5" x14ac:dyDescent="0.25">
      <c r="A165" s="5" t="s">
        <v>141</v>
      </c>
      <c r="B165" s="6" t="s">
        <v>142</v>
      </c>
      <c r="C165" s="2">
        <v>0</v>
      </c>
      <c r="D165" s="2">
        <v>1040490.23</v>
      </c>
    </row>
    <row r="166" spans="1:4" x14ac:dyDescent="0.25">
      <c r="A166" s="7"/>
      <c r="B166" s="7"/>
      <c r="C166" s="7"/>
      <c r="D166" s="7"/>
    </row>
    <row r="167" spans="1:4" x14ac:dyDescent="0.25">
      <c r="A167" s="8"/>
      <c r="B167" s="8"/>
      <c r="C167" s="8"/>
      <c r="D167" s="8"/>
    </row>
    <row r="168" spans="1:4" ht="90" x14ac:dyDescent="0.25">
      <c r="A168" s="9" t="s">
        <v>143</v>
      </c>
      <c r="B168" s="10" t="s">
        <v>144</v>
      </c>
      <c r="C168" s="1">
        <v>0</v>
      </c>
      <c r="D168" s="1">
        <v>232318.79</v>
      </c>
    </row>
    <row r="169" spans="1:4" x14ac:dyDescent="0.25">
      <c r="A169" s="11"/>
      <c r="B169" s="11"/>
      <c r="C169" s="11"/>
      <c r="D169" s="11"/>
    </row>
    <row r="170" spans="1:4" x14ac:dyDescent="0.25">
      <c r="A170" s="4"/>
      <c r="B170" s="4"/>
      <c r="C170" s="4"/>
      <c r="D170" s="4"/>
    </row>
    <row r="171" spans="1:4" ht="56.25" x14ac:dyDescent="0.25">
      <c r="A171" s="5" t="s">
        <v>3</v>
      </c>
      <c r="B171" s="6" t="s">
        <v>14</v>
      </c>
      <c r="C171" s="2">
        <v>137269.82</v>
      </c>
      <c r="D171" s="2">
        <v>137269.82</v>
      </c>
    </row>
    <row r="172" spans="1:4" x14ac:dyDescent="0.25">
      <c r="A172" s="7"/>
      <c r="B172" s="7"/>
      <c r="C172" s="7"/>
      <c r="D172" s="7"/>
    </row>
    <row r="173" spans="1:4" x14ac:dyDescent="0.25">
      <c r="A173" s="8"/>
      <c r="B173" s="8"/>
      <c r="C173" s="8"/>
      <c r="D173" s="8"/>
    </row>
    <row r="174" spans="1:4" ht="33.75" x14ac:dyDescent="0.25">
      <c r="A174" s="9" t="s">
        <v>145</v>
      </c>
      <c r="B174" s="10" t="s">
        <v>146</v>
      </c>
      <c r="C174" s="1">
        <v>1314589.32</v>
      </c>
      <c r="D174" s="1">
        <v>20244675.559999999</v>
      </c>
    </row>
    <row r="175" spans="1:4" x14ac:dyDescent="0.25">
      <c r="A175" s="11"/>
      <c r="B175" s="11"/>
      <c r="C175" s="11"/>
      <c r="D175" s="11"/>
    </row>
    <row r="176" spans="1:4" x14ac:dyDescent="0.25">
      <c r="A176" s="4"/>
      <c r="B176" s="4"/>
      <c r="C176" s="4"/>
      <c r="D176" s="4"/>
    </row>
    <row r="177" spans="1:4" ht="67.5" x14ac:dyDescent="0.25">
      <c r="A177" s="5" t="s">
        <v>147</v>
      </c>
      <c r="B177" s="6" t="s">
        <v>148</v>
      </c>
      <c r="C177" s="2">
        <v>67810.92</v>
      </c>
      <c r="D177" s="2">
        <v>67810.92</v>
      </c>
    </row>
    <row r="178" spans="1:4" x14ac:dyDescent="0.25">
      <c r="A178" s="7"/>
      <c r="B178" s="7"/>
      <c r="C178" s="7"/>
      <c r="D178" s="7"/>
    </row>
    <row r="179" spans="1:4" x14ac:dyDescent="0.25">
      <c r="A179" s="8"/>
      <c r="B179" s="8"/>
      <c r="C179" s="8"/>
      <c r="D179" s="8"/>
    </row>
    <row r="180" spans="1:4" ht="78.75" x14ac:dyDescent="0.25">
      <c r="A180" s="9" t="s">
        <v>4</v>
      </c>
      <c r="B180" s="10" t="s">
        <v>15</v>
      </c>
      <c r="C180" s="1">
        <v>203883.27</v>
      </c>
      <c r="D180" s="1">
        <v>203883.27</v>
      </c>
    </row>
    <row r="181" spans="1:4" x14ac:dyDescent="0.25">
      <c r="A181" s="11"/>
      <c r="B181" s="11"/>
      <c r="C181" s="11"/>
      <c r="D181" s="11"/>
    </row>
    <row r="182" spans="1:4" x14ac:dyDescent="0.25">
      <c r="A182" s="4"/>
      <c r="B182" s="4"/>
      <c r="C182" s="4"/>
      <c r="D182" s="4"/>
    </row>
    <row r="183" spans="1:4" ht="78.75" x14ac:dyDescent="0.25">
      <c r="A183" s="5" t="s">
        <v>5</v>
      </c>
      <c r="B183" s="6" t="s">
        <v>16</v>
      </c>
      <c r="C183" s="2">
        <v>567348.56999999995</v>
      </c>
      <c r="D183" s="2">
        <v>567348.56999999995</v>
      </c>
    </row>
    <row r="184" spans="1:4" x14ac:dyDescent="0.25">
      <c r="A184" s="7"/>
      <c r="B184" s="7"/>
      <c r="C184" s="7"/>
      <c r="D184" s="7"/>
    </row>
    <row r="185" spans="1:4" x14ac:dyDescent="0.25">
      <c r="A185" s="8"/>
      <c r="B185" s="8"/>
      <c r="C185" s="8"/>
      <c r="D185" s="8"/>
    </row>
    <row r="186" spans="1:4" ht="56.25" x14ac:dyDescent="0.25">
      <c r="A186" s="9" t="s">
        <v>149</v>
      </c>
      <c r="B186" s="10" t="s">
        <v>150</v>
      </c>
      <c r="C186" s="1">
        <v>137269.82</v>
      </c>
      <c r="D186" s="1">
        <v>137269.82</v>
      </c>
    </row>
    <row r="187" spans="1:4" x14ac:dyDescent="0.25">
      <c r="A187" s="11"/>
      <c r="B187" s="11"/>
      <c r="C187" s="11"/>
      <c r="D187" s="11"/>
    </row>
    <row r="188" spans="1:4" x14ac:dyDescent="0.25">
      <c r="A188" s="4"/>
      <c r="B188" s="4"/>
      <c r="C188" s="4"/>
      <c r="D188" s="4"/>
    </row>
    <row r="189" spans="1:4" ht="56.25" x14ac:dyDescent="0.25">
      <c r="A189" s="5" t="s">
        <v>151</v>
      </c>
      <c r="B189" s="6" t="s">
        <v>152</v>
      </c>
      <c r="C189" s="2">
        <v>199314.38</v>
      </c>
      <c r="D189" s="2">
        <v>199314.38</v>
      </c>
    </row>
    <row r="190" spans="1:4" x14ac:dyDescent="0.25">
      <c r="A190" s="7"/>
      <c r="B190" s="7"/>
      <c r="C190" s="7"/>
      <c r="D190" s="7"/>
    </row>
    <row r="191" spans="1:4" x14ac:dyDescent="0.25">
      <c r="A191" s="8"/>
      <c r="B191" s="8"/>
      <c r="C191" s="8"/>
      <c r="D191" s="8"/>
    </row>
    <row r="192" spans="1:4" ht="67.5" x14ac:dyDescent="0.25">
      <c r="A192" s="9" t="s">
        <v>153</v>
      </c>
      <c r="B192" s="10" t="s">
        <v>154</v>
      </c>
      <c r="C192" s="1">
        <v>203883.27</v>
      </c>
      <c r="D192" s="1">
        <v>203883.27</v>
      </c>
    </row>
    <row r="193" spans="1:4" x14ac:dyDescent="0.25">
      <c r="A193" s="11"/>
      <c r="B193" s="11"/>
      <c r="C193" s="11"/>
      <c r="D193" s="11"/>
    </row>
    <row r="194" spans="1:4" x14ac:dyDescent="0.25">
      <c r="A194" s="4"/>
      <c r="B194" s="4"/>
      <c r="C194" s="4"/>
      <c r="D194" s="4"/>
    </row>
    <row r="195" spans="1:4" ht="56.25" x14ac:dyDescent="0.25">
      <c r="A195" s="5" t="s">
        <v>155</v>
      </c>
      <c r="B195" s="6" t="s">
        <v>156</v>
      </c>
      <c r="C195" s="2">
        <v>0</v>
      </c>
      <c r="D195" s="2">
        <v>203561619</v>
      </c>
    </row>
    <row r="196" spans="1:4" x14ac:dyDescent="0.25">
      <c r="A196" s="7"/>
      <c r="B196" s="7"/>
      <c r="C196" s="7"/>
      <c r="D196" s="7"/>
    </row>
    <row r="197" spans="1:4" x14ac:dyDescent="0.25">
      <c r="A197" s="8"/>
      <c r="B197" s="8"/>
      <c r="C197" s="8"/>
      <c r="D197" s="8"/>
    </row>
    <row r="198" spans="1:4" ht="56.25" x14ac:dyDescent="0.25">
      <c r="A198" s="9" t="s">
        <v>157</v>
      </c>
      <c r="B198" s="10" t="s">
        <v>158</v>
      </c>
      <c r="C198" s="1">
        <v>0</v>
      </c>
      <c r="D198" s="1">
        <v>127171014.53</v>
      </c>
    </row>
    <row r="199" spans="1:4" x14ac:dyDescent="0.25">
      <c r="A199" s="11"/>
      <c r="B199" s="11"/>
      <c r="C199" s="11"/>
      <c r="D199" s="11"/>
    </row>
    <row r="200" spans="1:4" x14ac:dyDescent="0.25">
      <c r="A200" s="4"/>
      <c r="B200" s="4"/>
      <c r="C200" s="4"/>
      <c r="D200" s="4"/>
    </row>
    <row r="201" spans="1:4" ht="45" x14ac:dyDescent="0.25">
      <c r="A201" s="5" t="s">
        <v>159</v>
      </c>
      <c r="B201" s="6" t="s">
        <v>160</v>
      </c>
      <c r="C201" s="2">
        <v>0</v>
      </c>
      <c r="D201" s="2">
        <v>165630000</v>
      </c>
    </row>
    <row r="202" spans="1:4" x14ac:dyDescent="0.25">
      <c r="A202" s="7"/>
      <c r="B202" s="7"/>
      <c r="C202" s="7"/>
      <c r="D202" s="7"/>
    </row>
    <row r="203" spans="1:4" x14ac:dyDescent="0.25">
      <c r="A203" s="8"/>
      <c r="B203" s="8"/>
      <c r="C203" s="8"/>
      <c r="D203" s="8"/>
    </row>
    <row r="204" spans="1:4" ht="33.75" x14ac:dyDescent="0.25">
      <c r="A204" s="9" t="s">
        <v>161</v>
      </c>
      <c r="B204" s="10" t="s">
        <v>162</v>
      </c>
      <c r="C204" s="1">
        <v>0</v>
      </c>
      <c r="D204" s="1">
        <v>3784091.75</v>
      </c>
    </row>
    <row r="205" spans="1:4" x14ac:dyDescent="0.25">
      <c r="A205" s="11"/>
      <c r="B205" s="11"/>
      <c r="C205" s="11"/>
      <c r="D205" s="11"/>
    </row>
    <row r="206" spans="1:4" x14ac:dyDescent="0.25">
      <c r="A206" s="4"/>
      <c r="B206" s="4"/>
      <c r="C206" s="4"/>
      <c r="D206" s="4"/>
    </row>
    <row r="207" spans="1:4" ht="33.75" x14ac:dyDescent="0.25">
      <c r="A207" s="5" t="s">
        <v>163</v>
      </c>
      <c r="B207" s="6" t="s">
        <v>164</v>
      </c>
      <c r="C207" s="2">
        <v>0</v>
      </c>
      <c r="D207" s="2">
        <v>18500000</v>
      </c>
    </row>
    <row r="208" spans="1:4" x14ac:dyDescent="0.25">
      <c r="A208" s="7"/>
      <c r="B208" s="7"/>
      <c r="C208" s="7"/>
      <c r="D208" s="7"/>
    </row>
    <row r="209" spans="1:4" x14ac:dyDescent="0.25">
      <c r="A209" s="8"/>
      <c r="B209" s="8"/>
      <c r="C209" s="8"/>
      <c r="D209" s="8"/>
    </row>
    <row r="210" spans="1:4" ht="45" x14ac:dyDescent="0.25">
      <c r="A210" s="9" t="s">
        <v>165</v>
      </c>
      <c r="B210" s="10" t="s">
        <v>166</v>
      </c>
      <c r="C210" s="1">
        <v>0</v>
      </c>
      <c r="D210" s="1">
        <v>2076372.55</v>
      </c>
    </row>
    <row r="211" spans="1:4" x14ac:dyDescent="0.25">
      <c r="A211" s="11"/>
      <c r="B211" s="11"/>
      <c r="C211" s="11"/>
      <c r="D211" s="11"/>
    </row>
    <row r="212" spans="1:4" x14ac:dyDescent="0.25">
      <c r="A212" s="4"/>
      <c r="B212" s="4"/>
      <c r="C212" s="4"/>
      <c r="D212" s="4"/>
    </row>
    <row r="213" spans="1:4" ht="45" x14ac:dyDescent="0.25">
      <c r="A213" s="5" t="s">
        <v>167</v>
      </c>
      <c r="B213" s="6" t="s">
        <v>168</v>
      </c>
      <c r="C213" s="2">
        <v>0</v>
      </c>
      <c r="D213" s="2">
        <v>5515126.2300000004</v>
      </c>
    </row>
    <row r="214" spans="1:4" x14ac:dyDescent="0.25">
      <c r="A214" s="7"/>
      <c r="B214" s="7"/>
      <c r="C214" s="7"/>
      <c r="D214" s="7"/>
    </row>
    <row r="215" spans="1:4" x14ac:dyDescent="0.25">
      <c r="A215" s="8"/>
      <c r="B215" s="8"/>
      <c r="C215" s="8"/>
      <c r="D215" s="8"/>
    </row>
    <row r="216" spans="1:4" ht="45" x14ac:dyDescent="0.25">
      <c r="A216" s="9" t="s">
        <v>169</v>
      </c>
      <c r="B216" s="10" t="s">
        <v>170</v>
      </c>
      <c r="C216" s="1">
        <v>0</v>
      </c>
      <c r="D216" s="1">
        <v>5582787.7800000003</v>
      </c>
    </row>
    <row r="217" spans="1:4" x14ac:dyDescent="0.25">
      <c r="A217" s="11"/>
      <c r="B217" s="11"/>
      <c r="C217" s="11"/>
      <c r="D217" s="11"/>
    </row>
    <row r="218" spans="1:4" x14ac:dyDescent="0.25">
      <c r="A218" s="4"/>
      <c r="B218" s="4"/>
      <c r="C218" s="4"/>
      <c r="D218" s="4"/>
    </row>
    <row r="219" spans="1:4" ht="56.25" x14ac:dyDescent="0.25">
      <c r="A219" s="5" t="s">
        <v>171</v>
      </c>
      <c r="B219" s="6" t="s">
        <v>172</v>
      </c>
      <c r="C219" s="2">
        <v>0</v>
      </c>
      <c r="D219" s="2">
        <v>9730904.5999999996</v>
      </c>
    </row>
    <row r="220" spans="1:4" x14ac:dyDescent="0.25">
      <c r="A220" s="7"/>
      <c r="B220" s="7"/>
      <c r="C220" s="7"/>
      <c r="D220" s="7"/>
    </row>
    <row r="221" spans="1:4" x14ac:dyDescent="0.25">
      <c r="A221" s="8"/>
      <c r="B221" s="8"/>
      <c r="C221" s="8"/>
      <c r="D221" s="8"/>
    </row>
    <row r="222" spans="1:4" ht="67.5" x14ac:dyDescent="0.25">
      <c r="A222" s="9" t="s">
        <v>173</v>
      </c>
      <c r="B222" s="10" t="s">
        <v>174</v>
      </c>
      <c r="C222" s="1">
        <v>0</v>
      </c>
      <c r="D222" s="1">
        <v>4960679.96</v>
      </c>
    </row>
    <row r="223" spans="1:4" x14ac:dyDescent="0.25">
      <c r="A223" s="11"/>
      <c r="B223" s="11"/>
      <c r="C223" s="11"/>
      <c r="D223" s="11"/>
    </row>
    <row r="224" spans="1:4" x14ac:dyDescent="0.25">
      <c r="A224" s="4"/>
      <c r="B224" s="4"/>
      <c r="C224" s="4"/>
      <c r="D224" s="4"/>
    </row>
    <row r="225" spans="1:4" ht="67.5" x14ac:dyDescent="0.25">
      <c r="A225" s="5" t="s">
        <v>175</v>
      </c>
      <c r="B225" s="6" t="s">
        <v>176</v>
      </c>
      <c r="C225" s="2">
        <v>0</v>
      </c>
      <c r="D225" s="2">
        <v>22888437.300000001</v>
      </c>
    </row>
    <row r="226" spans="1:4" x14ac:dyDescent="0.25">
      <c r="A226" s="7"/>
      <c r="B226" s="7"/>
      <c r="C226" s="7"/>
      <c r="D226" s="7"/>
    </row>
    <row r="227" spans="1:4" x14ac:dyDescent="0.25">
      <c r="A227" s="8"/>
      <c r="B227" s="8"/>
      <c r="C227" s="8"/>
      <c r="D227" s="8"/>
    </row>
    <row r="228" spans="1:4" ht="56.25" x14ac:dyDescent="0.25">
      <c r="A228" s="9" t="s">
        <v>177</v>
      </c>
      <c r="B228" s="10" t="s">
        <v>178</v>
      </c>
      <c r="C228" s="1">
        <v>0</v>
      </c>
      <c r="D228" s="1">
        <v>847087.63</v>
      </c>
    </row>
    <row r="229" spans="1:4" x14ac:dyDescent="0.25">
      <c r="A229" s="11"/>
      <c r="B229" s="11"/>
      <c r="C229" s="11"/>
      <c r="D229" s="11"/>
    </row>
    <row r="230" spans="1:4" x14ac:dyDescent="0.25">
      <c r="A230" s="4"/>
      <c r="B230" s="4"/>
      <c r="C230" s="4"/>
      <c r="D230" s="4"/>
    </row>
    <row r="231" spans="1:4" ht="67.5" x14ac:dyDescent="0.25">
      <c r="A231" s="5" t="s">
        <v>179</v>
      </c>
      <c r="B231" s="6" t="s">
        <v>180</v>
      </c>
      <c r="C231" s="2">
        <v>0</v>
      </c>
      <c r="D231" s="2">
        <v>2987518.24</v>
      </c>
    </row>
    <row r="232" spans="1:4" x14ac:dyDescent="0.25">
      <c r="A232" s="7"/>
      <c r="B232" s="7"/>
      <c r="C232" s="7"/>
      <c r="D232" s="7"/>
    </row>
    <row r="233" spans="1:4" x14ac:dyDescent="0.25">
      <c r="A233" s="8"/>
      <c r="B233" s="8"/>
      <c r="C233" s="8"/>
      <c r="D233" s="8"/>
    </row>
    <row r="234" spans="1:4" ht="56.25" x14ac:dyDescent="0.25">
      <c r="A234" s="9" t="s">
        <v>181</v>
      </c>
      <c r="B234" s="10" t="s">
        <v>182</v>
      </c>
      <c r="C234" s="1">
        <v>0</v>
      </c>
      <c r="D234" s="1">
        <v>768952.28</v>
      </c>
    </row>
    <row r="235" spans="1:4" x14ac:dyDescent="0.25">
      <c r="A235" s="11"/>
      <c r="B235" s="11"/>
      <c r="C235" s="11"/>
      <c r="D235" s="11"/>
    </row>
    <row r="236" spans="1:4" x14ac:dyDescent="0.25">
      <c r="A236" s="4"/>
      <c r="B236" s="4"/>
      <c r="C236" s="4"/>
      <c r="D236" s="4"/>
    </row>
    <row r="237" spans="1:4" ht="45" x14ac:dyDescent="0.25">
      <c r="A237" s="5" t="s">
        <v>183</v>
      </c>
      <c r="B237" s="6" t="s">
        <v>184</v>
      </c>
      <c r="C237" s="2">
        <v>0</v>
      </c>
      <c r="D237" s="2">
        <v>1371505.8</v>
      </c>
    </row>
    <row r="238" spans="1:4" x14ac:dyDescent="0.25">
      <c r="A238" s="7"/>
      <c r="B238" s="7"/>
      <c r="C238" s="7"/>
      <c r="D238" s="7"/>
    </row>
    <row r="239" spans="1:4" x14ac:dyDescent="0.25">
      <c r="A239" s="8"/>
      <c r="B239" s="8"/>
      <c r="C239" s="8"/>
      <c r="D239" s="8"/>
    </row>
    <row r="240" spans="1:4" ht="56.25" x14ac:dyDescent="0.25">
      <c r="A240" s="9" t="s">
        <v>6</v>
      </c>
      <c r="B240" s="10" t="s">
        <v>17</v>
      </c>
      <c r="C240" s="1">
        <v>0</v>
      </c>
      <c r="D240" s="1">
        <v>2558906.48</v>
      </c>
    </row>
    <row r="241" spans="1:4" x14ac:dyDescent="0.25">
      <c r="A241" s="11"/>
      <c r="B241" s="11"/>
      <c r="C241" s="11"/>
      <c r="D241" s="11"/>
    </row>
    <row r="242" spans="1:4" x14ac:dyDescent="0.25">
      <c r="A242" s="4"/>
      <c r="B242" s="4"/>
      <c r="C242" s="4"/>
      <c r="D242" s="4"/>
    </row>
    <row r="243" spans="1:4" ht="56.25" x14ac:dyDescent="0.25">
      <c r="A243" s="5" t="s">
        <v>185</v>
      </c>
      <c r="B243" s="6" t="s">
        <v>186</v>
      </c>
      <c r="C243" s="2">
        <v>0</v>
      </c>
      <c r="D243" s="2">
        <v>1329021.1499999999</v>
      </c>
    </row>
    <row r="244" spans="1:4" x14ac:dyDescent="0.25">
      <c r="A244" s="7"/>
      <c r="B244" s="7"/>
      <c r="C244" s="7"/>
      <c r="D244" s="7"/>
    </row>
    <row r="245" spans="1:4" x14ac:dyDescent="0.25">
      <c r="A245" s="8"/>
      <c r="B245" s="8"/>
      <c r="C245" s="8"/>
      <c r="D245" s="8"/>
    </row>
    <row r="246" spans="1:4" ht="56.25" x14ac:dyDescent="0.25">
      <c r="A246" s="9" t="s">
        <v>187</v>
      </c>
      <c r="B246" s="10" t="s">
        <v>188</v>
      </c>
      <c r="C246" s="1">
        <v>0</v>
      </c>
      <c r="D246" s="1">
        <v>32195587.93</v>
      </c>
    </row>
    <row r="247" spans="1:4" x14ac:dyDescent="0.25">
      <c r="A247" s="11"/>
      <c r="B247" s="11"/>
      <c r="C247" s="11"/>
      <c r="D247" s="11"/>
    </row>
    <row r="248" spans="1:4" x14ac:dyDescent="0.25">
      <c r="A248" s="4"/>
      <c r="B248" s="4"/>
      <c r="C248" s="4"/>
      <c r="D248" s="4"/>
    </row>
    <row r="249" spans="1:4" ht="56.25" x14ac:dyDescent="0.25">
      <c r="A249" s="5" t="s">
        <v>189</v>
      </c>
      <c r="B249" s="6" t="s">
        <v>190</v>
      </c>
      <c r="C249" s="2">
        <v>0</v>
      </c>
      <c r="D249" s="2">
        <v>2759019.32</v>
      </c>
    </row>
    <row r="250" spans="1:4" x14ac:dyDescent="0.25">
      <c r="A250" s="7"/>
      <c r="B250" s="7"/>
      <c r="C250" s="7"/>
      <c r="D250" s="7"/>
    </row>
    <row r="251" spans="1:4" x14ac:dyDescent="0.25">
      <c r="A251" s="8"/>
      <c r="B251" s="8"/>
      <c r="C251" s="8"/>
      <c r="D251" s="8"/>
    </row>
    <row r="252" spans="1:4" ht="56.25" x14ac:dyDescent="0.25">
      <c r="A252" s="9" t="s">
        <v>191</v>
      </c>
      <c r="B252" s="10" t="s">
        <v>192</v>
      </c>
      <c r="C252" s="1">
        <v>0</v>
      </c>
      <c r="D252" s="1">
        <v>6277413.5499999998</v>
      </c>
    </row>
    <row r="253" spans="1:4" x14ac:dyDescent="0.25">
      <c r="A253" s="11"/>
      <c r="B253" s="11"/>
      <c r="C253" s="11"/>
      <c r="D253" s="11"/>
    </row>
    <row r="254" spans="1:4" x14ac:dyDescent="0.25">
      <c r="A254" s="4"/>
      <c r="B254" s="4"/>
      <c r="C254" s="4"/>
      <c r="D254" s="4"/>
    </row>
    <row r="255" spans="1:4" ht="78.75" x14ac:dyDescent="0.25">
      <c r="A255" s="5" t="s">
        <v>7</v>
      </c>
      <c r="B255" s="6" t="s">
        <v>18</v>
      </c>
      <c r="C255" s="2">
        <v>4268792.84</v>
      </c>
      <c r="D255" s="2">
        <v>4268792.84</v>
      </c>
    </row>
    <row r="256" spans="1:4" x14ac:dyDescent="0.25">
      <c r="A256" s="7"/>
      <c r="B256" s="7"/>
      <c r="C256" s="7"/>
      <c r="D256" s="7"/>
    </row>
    <row r="257" spans="1:4" x14ac:dyDescent="0.25">
      <c r="A257" s="8"/>
      <c r="B257" s="8"/>
      <c r="C257" s="8"/>
      <c r="D257" s="8"/>
    </row>
    <row r="258" spans="1:4" ht="78.75" x14ac:dyDescent="0.25">
      <c r="A258" s="9" t="s">
        <v>193</v>
      </c>
      <c r="B258" s="10" t="s">
        <v>194</v>
      </c>
      <c r="C258" s="1">
        <v>0</v>
      </c>
      <c r="D258" s="1">
        <v>19218262.5</v>
      </c>
    </row>
    <row r="259" spans="1:4" x14ac:dyDescent="0.25">
      <c r="A259" s="11"/>
      <c r="B259" s="11"/>
      <c r="C259" s="11"/>
      <c r="D259" s="11"/>
    </row>
    <row r="260" spans="1:4" x14ac:dyDescent="0.25">
      <c r="A260" s="4"/>
      <c r="B260" s="4"/>
      <c r="C260" s="4"/>
      <c r="D260" s="4"/>
    </row>
    <row r="261" spans="1:4" ht="56.25" x14ac:dyDescent="0.25">
      <c r="A261" s="5" t="s">
        <v>195</v>
      </c>
      <c r="B261" s="6" t="s">
        <v>196</v>
      </c>
      <c r="C261" s="2">
        <v>0</v>
      </c>
      <c r="D261" s="2">
        <v>5523599.8700000001</v>
      </c>
    </row>
    <row r="262" spans="1:4" x14ac:dyDescent="0.25">
      <c r="A262" s="7"/>
      <c r="B262" s="7"/>
      <c r="C262" s="7"/>
      <c r="D262" s="7"/>
    </row>
    <row r="263" spans="1:4" x14ac:dyDescent="0.25">
      <c r="A263" s="8"/>
      <c r="B263" s="8"/>
      <c r="C263" s="8"/>
      <c r="D263" s="8"/>
    </row>
    <row r="264" spans="1:4" ht="67.5" x14ac:dyDescent="0.25">
      <c r="A264" s="9" t="s">
        <v>197</v>
      </c>
      <c r="B264" s="10" t="s">
        <v>198</v>
      </c>
      <c r="C264" s="1">
        <v>0</v>
      </c>
      <c r="D264" s="1">
        <v>1556432.46</v>
      </c>
    </row>
    <row r="265" spans="1:4" x14ac:dyDescent="0.25">
      <c r="A265" s="11"/>
      <c r="B265" s="11"/>
      <c r="C265" s="11"/>
      <c r="D265" s="11"/>
    </row>
    <row r="266" spans="1:4" x14ac:dyDescent="0.25">
      <c r="A266" s="4"/>
      <c r="B266" s="4"/>
      <c r="C266" s="4"/>
      <c r="D266" s="4"/>
    </row>
    <row r="267" spans="1:4" ht="56.25" x14ac:dyDescent="0.25">
      <c r="A267" s="5" t="s">
        <v>8</v>
      </c>
      <c r="B267" s="6" t="s">
        <v>19</v>
      </c>
      <c r="C267" s="2">
        <v>2361359.7400000002</v>
      </c>
      <c r="D267" s="2">
        <v>2361359.7400000002</v>
      </c>
    </row>
    <row r="268" spans="1:4" x14ac:dyDescent="0.25">
      <c r="A268" s="7"/>
      <c r="B268" s="7"/>
      <c r="C268" s="7"/>
      <c r="D268" s="7"/>
    </row>
    <row r="269" spans="1:4" x14ac:dyDescent="0.25">
      <c r="A269" s="8"/>
      <c r="B269" s="8"/>
      <c r="C269" s="8"/>
      <c r="D269" s="8"/>
    </row>
    <row r="270" spans="1:4" ht="56.25" x14ac:dyDescent="0.25">
      <c r="A270" s="9" t="s">
        <v>199</v>
      </c>
      <c r="B270" s="10" t="s">
        <v>200</v>
      </c>
      <c r="C270" s="1">
        <v>0</v>
      </c>
      <c r="D270" s="1">
        <v>35327981.159999996</v>
      </c>
    </row>
    <row r="271" spans="1:4" x14ac:dyDescent="0.25">
      <c r="A271" s="11"/>
      <c r="B271" s="11"/>
      <c r="C271" s="11"/>
      <c r="D271" s="11"/>
    </row>
    <row r="272" spans="1:4" x14ac:dyDescent="0.25">
      <c r="A272" s="4"/>
      <c r="B272" s="4"/>
      <c r="C272" s="4"/>
      <c r="D272" s="4"/>
    </row>
    <row r="273" spans="1:4" ht="45" x14ac:dyDescent="0.25">
      <c r="A273" s="5" t="s">
        <v>201</v>
      </c>
      <c r="B273" s="6" t="s">
        <v>202</v>
      </c>
      <c r="C273" s="2">
        <v>0</v>
      </c>
      <c r="D273" s="2">
        <v>27083573.57</v>
      </c>
    </row>
    <row r="274" spans="1:4" x14ac:dyDescent="0.25">
      <c r="A274" s="7"/>
      <c r="B274" s="7"/>
      <c r="C274" s="7"/>
      <c r="D274" s="7"/>
    </row>
    <row r="275" spans="1:4" x14ac:dyDescent="0.25">
      <c r="A275" s="8"/>
      <c r="B275" s="8"/>
      <c r="C275" s="8"/>
      <c r="D275" s="8"/>
    </row>
    <row r="276" spans="1:4" ht="56.25" x14ac:dyDescent="0.25">
      <c r="A276" s="9" t="s">
        <v>203</v>
      </c>
      <c r="B276" s="10" t="s">
        <v>204</v>
      </c>
      <c r="C276" s="1">
        <v>0</v>
      </c>
      <c r="D276" s="1">
        <v>1004599.27</v>
      </c>
    </row>
    <row r="277" spans="1:4" x14ac:dyDescent="0.25">
      <c r="A277" s="11"/>
      <c r="B277" s="11"/>
      <c r="C277" s="11"/>
      <c r="D277" s="11"/>
    </row>
    <row r="278" spans="1:4" x14ac:dyDescent="0.25">
      <c r="A278" s="4"/>
      <c r="B278" s="4"/>
      <c r="C278" s="4"/>
      <c r="D278" s="4"/>
    </row>
    <row r="279" spans="1:4" ht="56.25" x14ac:dyDescent="0.25">
      <c r="A279" s="5" t="s">
        <v>205</v>
      </c>
      <c r="B279" s="6" t="s">
        <v>206</v>
      </c>
      <c r="C279" s="2">
        <v>0</v>
      </c>
      <c r="D279" s="2">
        <v>1626262.86</v>
      </c>
    </row>
    <row r="280" spans="1:4" x14ac:dyDescent="0.25">
      <c r="A280" s="7"/>
      <c r="B280" s="7"/>
      <c r="C280" s="7"/>
      <c r="D280" s="7"/>
    </row>
    <row r="281" spans="1:4" x14ac:dyDescent="0.25">
      <c r="A281" s="8"/>
      <c r="B281" s="8"/>
      <c r="C281" s="8"/>
      <c r="D281" s="8"/>
    </row>
    <row r="282" spans="1:4" ht="67.5" x14ac:dyDescent="0.25">
      <c r="A282" s="9" t="s">
        <v>207</v>
      </c>
      <c r="B282" s="10" t="s">
        <v>208</v>
      </c>
      <c r="C282" s="1">
        <v>0</v>
      </c>
      <c r="D282" s="1">
        <v>777981.56</v>
      </c>
    </row>
    <row r="283" spans="1:4" x14ac:dyDescent="0.25">
      <c r="A283" s="11"/>
      <c r="B283" s="11"/>
      <c r="C283" s="11"/>
      <c r="D283" s="11"/>
    </row>
    <row r="284" spans="1:4" x14ac:dyDescent="0.25">
      <c r="A284" s="4"/>
      <c r="B284" s="4"/>
      <c r="C284" s="4"/>
      <c r="D284" s="4"/>
    </row>
    <row r="285" spans="1:4" ht="67.5" x14ac:dyDescent="0.25">
      <c r="A285" s="5" t="s">
        <v>209</v>
      </c>
      <c r="B285" s="6" t="s">
        <v>210</v>
      </c>
      <c r="C285" s="2">
        <v>0</v>
      </c>
      <c r="D285" s="2">
        <v>82174.710000000006</v>
      </c>
    </row>
    <row r="286" spans="1:4" x14ac:dyDescent="0.25">
      <c r="A286" s="7"/>
      <c r="B286" s="7"/>
      <c r="C286" s="7"/>
      <c r="D286" s="7"/>
    </row>
    <row r="287" spans="1:4" x14ac:dyDescent="0.25">
      <c r="A287" s="8"/>
      <c r="B287" s="8"/>
      <c r="C287" s="8"/>
      <c r="D287" s="8"/>
    </row>
    <row r="288" spans="1:4" ht="56.25" x14ac:dyDescent="0.25">
      <c r="A288" s="9" t="s">
        <v>9</v>
      </c>
      <c r="B288" s="10" t="s">
        <v>20</v>
      </c>
      <c r="C288" s="1">
        <v>17728563.670000002</v>
      </c>
      <c r="D288" s="1">
        <v>17728563.670000002</v>
      </c>
    </row>
    <row r="289" spans="1:4" x14ac:dyDescent="0.25">
      <c r="A289" s="11"/>
      <c r="B289" s="11"/>
      <c r="C289" s="11"/>
      <c r="D289" s="11"/>
    </row>
    <row r="290" spans="1:4" x14ac:dyDescent="0.25">
      <c r="A290" s="4"/>
      <c r="B290" s="4"/>
      <c r="C290" s="4"/>
      <c r="D290" s="4"/>
    </row>
    <row r="291" spans="1:4" ht="33.75" x14ac:dyDescent="0.25">
      <c r="A291" s="5" t="s">
        <v>211</v>
      </c>
      <c r="B291" s="6" t="s">
        <v>21</v>
      </c>
      <c r="C291" s="2">
        <v>20288014.260000002</v>
      </c>
      <c r="D291" s="2">
        <v>256034739.93000001</v>
      </c>
    </row>
    <row r="292" spans="1:4" x14ac:dyDescent="0.25">
      <c r="A292" s="7"/>
      <c r="B292" s="7"/>
      <c r="C292" s="7"/>
      <c r="D292" s="7"/>
    </row>
    <row r="293" spans="1:4" x14ac:dyDescent="0.25">
      <c r="A293" s="8"/>
      <c r="B293" s="8"/>
      <c r="C293" s="8"/>
      <c r="D293" s="8"/>
    </row>
    <row r="294" spans="1:4" ht="33.75" x14ac:dyDescent="0.25">
      <c r="A294" s="9" t="s">
        <v>212</v>
      </c>
      <c r="B294" s="10" t="s">
        <v>213</v>
      </c>
      <c r="C294" s="1">
        <v>40912430.469999999</v>
      </c>
      <c r="D294" s="1">
        <v>251070507.96000001</v>
      </c>
    </row>
    <row r="295" spans="1:4" x14ac:dyDescent="0.25">
      <c r="A295" s="11"/>
      <c r="B295" s="11"/>
      <c r="C295" s="11"/>
      <c r="D295" s="11"/>
    </row>
    <row r="296" spans="1:4" x14ac:dyDescent="0.25">
      <c r="A296" s="4"/>
      <c r="B296" s="4"/>
      <c r="C296" s="4"/>
      <c r="D296" s="4"/>
    </row>
    <row r="297" spans="1:4" ht="56.25" x14ac:dyDescent="0.25">
      <c r="A297" s="5" t="s">
        <v>214</v>
      </c>
      <c r="B297" s="6" t="s">
        <v>215</v>
      </c>
      <c r="C297" s="2">
        <v>0</v>
      </c>
      <c r="D297" s="2">
        <v>17792940.640000001</v>
      </c>
    </row>
    <row r="298" spans="1:4" x14ac:dyDescent="0.25">
      <c r="A298" s="7"/>
      <c r="B298" s="7"/>
      <c r="C298" s="7"/>
      <c r="D298" s="7"/>
    </row>
    <row r="299" spans="1:4" x14ac:dyDescent="0.25">
      <c r="A299" s="8"/>
      <c r="B299" s="8"/>
      <c r="C299" s="8"/>
      <c r="D299" s="8"/>
    </row>
    <row r="300" spans="1:4" ht="33.75" x14ac:dyDescent="0.25">
      <c r="A300" s="9" t="s">
        <v>216</v>
      </c>
      <c r="B300" s="10" t="s">
        <v>217</v>
      </c>
      <c r="C300" s="1">
        <v>0</v>
      </c>
      <c r="D300" s="1">
        <v>30032719.879999999</v>
      </c>
    </row>
    <row r="301" spans="1:4" x14ac:dyDescent="0.25">
      <c r="A301" s="11"/>
      <c r="B301" s="11"/>
      <c r="C301" s="11"/>
      <c r="D301" s="11"/>
    </row>
    <row r="302" spans="1:4" x14ac:dyDescent="0.25">
      <c r="A302" s="4"/>
      <c r="B302" s="4"/>
      <c r="C302" s="4"/>
      <c r="D302" s="4"/>
    </row>
    <row r="303" spans="1:4" ht="22.5" x14ac:dyDescent="0.25">
      <c r="A303" s="5" t="s">
        <v>218</v>
      </c>
      <c r="B303" s="6" t="s">
        <v>219</v>
      </c>
      <c r="C303" s="2">
        <v>0</v>
      </c>
      <c r="D303" s="2">
        <v>38850000</v>
      </c>
    </row>
    <row r="304" spans="1:4" x14ac:dyDescent="0.25">
      <c r="A304" s="7"/>
      <c r="B304" s="7"/>
      <c r="C304" s="7"/>
      <c r="D304" s="7"/>
    </row>
    <row r="305" spans="1:4" x14ac:dyDescent="0.25">
      <c r="A305" s="13"/>
      <c r="B305" s="13"/>
      <c r="C305" s="13"/>
      <c r="D305" s="13"/>
    </row>
    <row r="306" spans="1:4" x14ac:dyDescent="0.25">
      <c r="A306" s="14" t="s">
        <v>10</v>
      </c>
      <c r="B306" s="15" t="s">
        <v>22</v>
      </c>
      <c r="C306" s="16">
        <v>138294658.41999999</v>
      </c>
      <c r="D306" s="16">
        <v>1718032979.3199999</v>
      </c>
    </row>
    <row r="307" spans="1:4" x14ac:dyDescent="0.25">
      <c r="A307" s="17"/>
      <c r="B307" s="17"/>
      <c r="C307" s="17"/>
      <c r="D307" s="1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4970C-C04B-43D3-9A15-F10BAEA2487C}">
  <dimension ref="A1:D310"/>
  <sheetViews>
    <sheetView topLeftCell="A7" workbookViewId="0">
      <selection activeCell="G4" sqref="G4"/>
    </sheetView>
  </sheetViews>
  <sheetFormatPr defaultRowHeight="15" x14ac:dyDescent="0.25"/>
  <cols>
    <col min="3" max="3" width="12" bestFit="1" customWidth="1"/>
    <col min="4" max="4" width="13.85546875" bestFit="1" customWidth="1"/>
  </cols>
  <sheetData>
    <row r="1" spans="1:4" x14ac:dyDescent="0.25">
      <c r="A1" s="37" t="s">
        <v>0</v>
      </c>
      <c r="B1" s="3" t="s">
        <v>11</v>
      </c>
      <c r="C1" s="3" t="s">
        <v>37</v>
      </c>
      <c r="D1" s="3" t="s">
        <v>238</v>
      </c>
    </row>
    <row r="2" spans="1:4" x14ac:dyDescent="0.25">
      <c r="A2" s="4"/>
      <c r="B2" s="4"/>
      <c r="C2" s="4"/>
      <c r="D2" s="4"/>
    </row>
    <row r="3" spans="1:4" ht="56.25" x14ac:dyDescent="0.25">
      <c r="A3" s="5" t="s">
        <v>38</v>
      </c>
      <c r="B3" s="6" t="s">
        <v>39</v>
      </c>
      <c r="C3" s="2">
        <v>0</v>
      </c>
      <c r="D3" s="2">
        <v>0</v>
      </c>
    </row>
    <row r="4" spans="1:4" x14ac:dyDescent="0.25">
      <c r="A4" s="7"/>
      <c r="B4" s="7"/>
      <c r="C4" s="7"/>
      <c r="D4" s="7"/>
    </row>
    <row r="5" spans="1:4" x14ac:dyDescent="0.25">
      <c r="A5" s="8"/>
      <c r="B5" s="8"/>
      <c r="C5" s="8"/>
      <c r="D5" s="8"/>
    </row>
    <row r="6" spans="1:4" ht="56.25" x14ac:dyDescent="0.25">
      <c r="A6" s="9" t="s">
        <v>40</v>
      </c>
      <c r="B6" s="10" t="s">
        <v>41</v>
      </c>
      <c r="C6" s="1">
        <v>0</v>
      </c>
      <c r="D6" s="1">
        <v>18037500</v>
      </c>
    </row>
    <row r="7" spans="1:4" x14ac:dyDescent="0.25">
      <c r="A7" s="11"/>
      <c r="B7" s="11"/>
      <c r="C7" s="11"/>
      <c r="D7" s="11"/>
    </row>
    <row r="8" spans="1:4" x14ac:dyDescent="0.25">
      <c r="A8" s="4"/>
      <c r="B8" s="4"/>
      <c r="C8" s="4"/>
      <c r="D8" s="4"/>
    </row>
    <row r="9" spans="1:4" ht="67.5" x14ac:dyDescent="0.25">
      <c r="A9" s="5" t="s">
        <v>42</v>
      </c>
      <c r="B9" s="6" t="s">
        <v>43</v>
      </c>
      <c r="C9" s="2">
        <v>0</v>
      </c>
      <c r="D9" s="2">
        <v>124875</v>
      </c>
    </row>
    <row r="10" spans="1:4" x14ac:dyDescent="0.25">
      <c r="A10" s="7"/>
      <c r="B10" s="7"/>
      <c r="C10" s="7"/>
      <c r="D10" s="7"/>
    </row>
    <row r="11" spans="1:4" x14ac:dyDescent="0.25">
      <c r="A11" s="8"/>
      <c r="B11" s="8"/>
      <c r="C11" s="8"/>
      <c r="D11" s="8"/>
    </row>
    <row r="12" spans="1:4" ht="78.75" x14ac:dyDescent="0.25">
      <c r="A12" s="9" t="s">
        <v>44</v>
      </c>
      <c r="B12" s="10" t="s">
        <v>45</v>
      </c>
      <c r="C12" s="1">
        <v>0</v>
      </c>
      <c r="D12" s="1">
        <v>541125</v>
      </c>
    </row>
    <row r="13" spans="1:4" x14ac:dyDescent="0.25">
      <c r="A13" s="11"/>
      <c r="B13" s="11"/>
      <c r="C13" s="11"/>
      <c r="D13" s="11"/>
    </row>
    <row r="14" spans="1:4" x14ac:dyDescent="0.25">
      <c r="A14" s="4"/>
      <c r="B14" s="4"/>
      <c r="C14" s="4"/>
      <c r="D14" s="4"/>
    </row>
    <row r="15" spans="1:4" x14ac:dyDescent="0.25">
      <c r="A15" s="5" t="s">
        <v>46</v>
      </c>
      <c r="B15" s="12"/>
      <c r="C15" s="2">
        <v>0</v>
      </c>
      <c r="D15" s="2">
        <v>0</v>
      </c>
    </row>
    <row r="16" spans="1:4" x14ac:dyDescent="0.25">
      <c r="A16" s="7"/>
      <c r="B16" s="7"/>
      <c r="C16" s="7"/>
      <c r="D16" s="7"/>
    </row>
    <row r="17" spans="1:4" x14ac:dyDescent="0.25">
      <c r="A17" s="8"/>
      <c r="B17" s="8"/>
      <c r="C17" s="8"/>
      <c r="D17" s="8"/>
    </row>
    <row r="18" spans="1:4" ht="56.25" x14ac:dyDescent="0.25">
      <c r="A18" s="9" t="s">
        <v>47</v>
      </c>
      <c r="B18" s="10" t="s">
        <v>48</v>
      </c>
      <c r="C18" s="1">
        <v>0</v>
      </c>
      <c r="D18" s="1">
        <v>274329.78000000003</v>
      </c>
    </row>
    <row r="19" spans="1:4" x14ac:dyDescent="0.25">
      <c r="A19" s="11"/>
      <c r="B19" s="11"/>
      <c r="C19" s="11"/>
      <c r="D19" s="11"/>
    </row>
    <row r="20" spans="1:4" x14ac:dyDescent="0.25">
      <c r="A20" s="4"/>
      <c r="B20" s="4"/>
      <c r="C20" s="4"/>
      <c r="D20" s="4"/>
    </row>
    <row r="21" spans="1:4" ht="67.5" x14ac:dyDescent="0.25">
      <c r="A21" s="5" t="s">
        <v>49</v>
      </c>
      <c r="B21" s="6" t="s">
        <v>50</v>
      </c>
      <c r="C21" s="2">
        <v>0</v>
      </c>
      <c r="D21" s="2">
        <v>7204125.5499999998</v>
      </c>
    </row>
    <row r="22" spans="1:4" x14ac:dyDescent="0.25">
      <c r="A22" s="7"/>
      <c r="B22" s="7"/>
      <c r="C22" s="7"/>
      <c r="D22" s="7"/>
    </row>
    <row r="23" spans="1:4" x14ac:dyDescent="0.25">
      <c r="A23" s="8"/>
      <c r="B23" s="8"/>
      <c r="C23" s="8"/>
      <c r="D23" s="8"/>
    </row>
    <row r="24" spans="1:4" ht="78.75" x14ac:dyDescent="0.25">
      <c r="A24" s="9" t="s">
        <v>51</v>
      </c>
      <c r="B24" s="10" t="s">
        <v>52</v>
      </c>
      <c r="C24" s="1">
        <v>0</v>
      </c>
      <c r="D24" s="1">
        <v>181803.4</v>
      </c>
    </row>
    <row r="25" spans="1:4" x14ac:dyDescent="0.25">
      <c r="A25" s="11"/>
      <c r="B25" s="11"/>
      <c r="C25" s="11"/>
      <c r="D25" s="11"/>
    </row>
    <row r="26" spans="1:4" x14ac:dyDescent="0.25">
      <c r="A26" s="4"/>
      <c r="B26" s="4"/>
      <c r="C26" s="4"/>
      <c r="D26" s="4"/>
    </row>
    <row r="27" spans="1:4" ht="78.75" x14ac:dyDescent="0.25">
      <c r="A27" s="5" t="s">
        <v>53</v>
      </c>
      <c r="B27" s="6" t="s">
        <v>54</v>
      </c>
      <c r="C27" s="2">
        <v>0</v>
      </c>
      <c r="D27" s="2">
        <v>0</v>
      </c>
    </row>
    <row r="28" spans="1:4" x14ac:dyDescent="0.25">
      <c r="A28" s="7"/>
      <c r="B28" s="7"/>
      <c r="C28" s="7"/>
      <c r="D28" s="7"/>
    </row>
    <row r="29" spans="1:4" x14ac:dyDescent="0.25">
      <c r="A29" s="8"/>
      <c r="B29" s="8"/>
      <c r="C29" s="8"/>
      <c r="D29" s="8"/>
    </row>
    <row r="30" spans="1:4" ht="45" x14ac:dyDescent="0.25">
      <c r="A30" s="9" t="s">
        <v>55</v>
      </c>
      <c r="B30" s="10" t="s">
        <v>56</v>
      </c>
      <c r="C30" s="1">
        <v>0</v>
      </c>
      <c r="D30" s="1">
        <v>31991657.359999999</v>
      </c>
    </row>
    <row r="31" spans="1:4" x14ac:dyDescent="0.25">
      <c r="A31" s="11"/>
      <c r="B31" s="11"/>
      <c r="C31" s="11"/>
      <c r="D31" s="11"/>
    </row>
    <row r="32" spans="1:4" x14ac:dyDescent="0.25">
      <c r="A32" s="4"/>
      <c r="B32" s="4"/>
      <c r="C32" s="4"/>
      <c r="D32" s="4"/>
    </row>
    <row r="33" spans="1:4" ht="78.75" x14ac:dyDescent="0.25">
      <c r="A33" s="5" t="s">
        <v>57</v>
      </c>
      <c r="B33" s="6" t="s">
        <v>58</v>
      </c>
      <c r="C33" s="2">
        <v>0</v>
      </c>
      <c r="D33" s="2">
        <v>25562603.559999999</v>
      </c>
    </row>
    <row r="34" spans="1:4" x14ac:dyDescent="0.25">
      <c r="A34" s="7"/>
      <c r="B34" s="7"/>
      <c r="C34" s="7"/>
      <c r="D34" s="7"/>
    </row>
    <row r="35" spans="1:4" x14ac:dyDescent="0.25">
      <c r="A35" s="8"/>
      <c r="B35" s="8"/>
      <c r="C35" s="8"/>
      <c r="D35" s="8"/>
    </row>
    <row r="36" spans="1:4" ht="56.25" x14ac:dyDescent="0.25">
      <c r="A36" s="9" t="s">
        <v>59</v>
      </c>
      <c r="B36" s="10" t="s">
        <v>60</v>
      </c>
      <c r="C36" s="1">
        <v>0</v>
      </c>
      <c r="D36" s="1">
        <v>14714281.83</v>
      </c>
    </row>
    <row r="37" spans="1:4" x14ac:dyDescent="0.25">
      <c r="A37" s="11"/>
      <c r="B37" s="11"/>
      <c r="C37" s="11"/>
      <c r="D37" s="11"/>
    </row>
    <row r="38" spans="1:4" x14ac:dyDescent="0.25">
      <c r="A38" s="4"/>
      <c r="B38" s="4"/>
      <c r="C38" s="4"/>
      <c r="D38" s="4"/>
    </row>
    <row r="39" spans="1:4" ht="67.5" x14ac:dyDescent="0.25">
      <c r="A39" s="5" t="s">
        <v>61</v>
      </c>
      <c r="B39" s="6" t="s">
        <v>62</v>
      </c>
      <c r="C39" s="2">
        <v>0</v>
      </c>
      <c r="D39" s="2">
        <v>61029.83</v>
      </c>
    </row>
    <row r="40" spans="1:4" x14ac:dyDescent="0.25">
      <c r="A40" s="7"/>
      <c r="B40" s="7"/>
      <c r="C40" s="7"/>
      <c r="D40" s="7"/>
    </row>
    <row r="41" spans="1:4" x14ac:dyDescent="0.25">
      <c r="A41" s="8"/>
      <c r="B41" s="8"/>
      <c r="C41" s="8"/>
      <c r="D41" s="8"/>
    </row>
    <row r="42" spans="1:4" ht="90" x14ac:dyDescent="0.25">
      <c r="A42" s="9" t="s">
        <v>63</v>
      </c>
      <c r="B42" s="10" t="s">
        <v>64</v>
      </c>
      <c r="C42" s="1">
        <v>0</v>
      </c>
      <c r="D42" s="1">
        <v>125157.64</v>
      </c>
    </row>
    <row r="43" spans="1:4" x14ac:dyDescent="0.25">
      <c r="A43" s="11"/>
      <c r="B43" s="11"/>
      <c r="C43" s="11"/>
      <c r="D43" s="11"/>
    </row>
    <row r="44" spans="1:4" x14ac:dyDescent="0.25">
      <c r="A44" s="4"/>
      <c r="B44" s="4"/>
      <c r="C44" s="4"/>
      <c r="D44" s="4"/>
    </row>
    <row r="45" spans="1:4" ht="78.75" x14ac:dyDescent="0.25">
      <c r="A45" s="5" t="s">
        <v>65</v>
      </c>
      <c r="B45" s="6" t="s">
        <v>66</v>
      </c>
      <c r="C45" s="2">
        <v>0</v>
      </c>
      <c r="D45" s="2">
        <v>118376.46</v>
      </c>
    </row>
    <row r="46" spans="1:4" x14ac:dyDescent="0.25">
      <c r="A46" s="7"/>
      <c r="B46" s="7"/>
      <c r="C46" s="7"/>
      <c r="D46" s="7"/>
    </row>
    <row r="47" spans="1:4" x14ac:dyDescent="0.25">
      <c r="A47" s="8"/>
      <c r="B47" s="8"/>
      <c r="C47" s="8"/>
      <c r="D47" s="8"/>
    </row>
    <row r="48" spans="1:4" ht="78.75" x14ac:dyDescent="0.25">
      <c r="A48" s="9" t="s">
        <v>67</v>
      </c>
      <c r="B48" s="10" t="s">
        <v>68</v>
      </c>
      <c r="C48" s="1">
        <v>0</v>
      </c>
      <c r="D48" s="1">
        <v>282200.14</v>
      </c>
    </row>
    <row r="49" spans="1:4" x14ac:dyDescent="0.25">
      <c r="A49" s="11"/>
      <c r="B49" s="11"/>
      <c r="C49" s="11"/>
      <c r="D49" s="11"/>
    </row>
    <row r="50" spans="1:4" x14ac:dyDescent="0.25">
      <c r="A50" s="4"/>
      <c r="B50" s="4"/>
      <c r="C50" s="4"/>
      <c r="D50" s="4"/>
    </row>
    <row r="51" spans="1:4" ht="90" x14ac:dyDescent="0.25">
      <c r="A51" s="5" t="s">
        <v>69</v>
      </c>
      <c r="B51" s="6" t="s">
        <v>70</v>
      </c>
      <c r="C51" s="2">
        <v>71577.06</v>
      </c>
      <c r="D51" s="2">
        <v>71577.06</v>
      </c>
    </row>
    <row r="52" spans="1:4" x14ac:dyDescent="0.25">
      <c r="A52" s="7"/>
      <c r="B52" s="7"/>
      <c r="C52" s="7"/>
      <c r="D52" s="7"/>
    </row>
    <row r="53" spans="1:4" x14ac:dyDescent="0.25">
      <c r="A53" s="8"/>
      <c r="B53" s="8"/>
      <c r="C53" s="8"/>
      <c r="D53" s="8"/>
    </row>
    <row r="54" spans="1:4" ht="90" x14ac:dyDescent="0.25">
      <c r="A54" s="9" t="s">
        <v>71</v>
      </c>
      <c r="B54" s="10" t="s">
        <v>72</v>
      </c>
      <c r="C54" s="1">
        <v>71577.06</v>
      </c>
      <c r="D54" s="1">
        <v>71577.06</v>
      </c>
    </row>
    <row r="55" spans="1:4" x14ac:dyDescent="0.25">
      <c r="A55" s="11"/>
      <c r="B55" s="11"/>
      <c r="C55" s="11"/>
      <c r="D55" s="11"/>
    </row>
    <row r="56" spans="1:4" x14ac:dyDescent="0.25">
      <c r="A56" s="4"/>
      <c r="B56" s="4"/>
      <c r="C56" s="4"/>
      <c r="D56" s="4"/>
    </row>
    <row r="57" spans="1:4" ht="90" x14ac:dyDescent="0.25">
      <c r="A57" s="5" t="s">
        <v>73</v>
      </c>
      <c r="B57" s="6" t="s">
        <v>74</v>
      </c>
      <c r="C57" s="2">
        <v>71577.06</v>
      </c>
      <c r="D57" s="2">
        <v>71577.06</v>
      </c>
    </row>
    <row r="58" spans="1:4" x14ac:dyDescent="0.25">
      <c r="A58" s="7"/>
      <c r="B58" s="7"/>
      <c r="C58" s="7"/>
      <c r="D58" s="7"/>
    </row>
    <row r="59" spans="1:4" x14ac:dyDescent="0.25">
      <c r="A59" s="8"/>
      <c r="B59" s="8"/>
      <c r="C59" s="8"/>
      <c r="D59" s="8"/>
    </row>
    <row r="60" spans="1:4" ht="45" x14ac:dyDescent="0.25">
      <c r="A60" s="9" t="s">
        <v>75</v>
      </c>
      <c r="B60" s="10" t="s">
        <v>76</v>
      </c>
      <c r="C60" s="1">
        <v>0</v>
      </c>
      <c r="D60" s="1">
        <v>29179.63</v>
      </c>
    </row>
    <row r="61" spans="1:4" x14ac:dyDescent="0.25">
      <c r="A61" s="11"/>
      <c r="B61" s="11"/>
      <c r="C61" s="11"/>
      <c r="D61" s="11"/>
    </row>
    <row r="62" spans="1:4" x14ac:dyDescent="0.25">
      <c r="A62" s="4"/>
      <c r="B62" s="4"/>
      <c r="C62" s="4"/>
      <c r="D62" s="4"/>
    </row>
    <row r="63" spans="1:4" ht="56.25" x14ac:dyDescent="0.25">
      <c r="A63" s="5" t="s">
        <v>77</v>
      </c>
      <c r="B63" s="6" t="s">
        <v>78</v>
      </c>
      <c r="C63" s="2">
        <v>0</v>
      </c>
      <c r="D63" s="2">
        <v>35455175.579999998</v>
      </c>
    </row>
    <row r="64" spans="1:4" x14ac:dyDescent="0.25">
      <c r="A64" s="7"/>
      <c r="B64" s="7"/>
      <c r="C64" s="7"/>
      <c r="D64" s="7"/>
    </row>
    <row r="65" spans="1:4" x14ac:dyDescent="0.25">
      <c r="A65" s="8"/>
      <c r="B65" s="8"/>
      <c r="C65" s="8"/>
      <c r="D65" s="8"/>
    </row>
    <row r="66" spans="1:4" ht="90" x14ac:dyDescent="0.25">
      <c r="A66" s="9" t="s">
        <v>79</v>
      </c>
      <c r="B66" s="10" t="s">
        <v>80</v>
      </c>
      <c r="C66" s="1">
        <v>0</v>
      </c>
      <c r="D66" s="1">
        <v>5751521.5099999998</v>
      </c>
    </row>
    <row r="67" spans="1:4" x14ac:dyDescent="0.25">
      <c r="A67" s="11"/>
      <c r="B67" s="11"/>
      <c r="C67" s="11"/>
      <c r="D67" s="11"/>
    </row>
    <row r="68" spans="1:4" x14ac:dyDescent="0.25">
      <c r="A68" s="4"/>
      <c r="B68" s="4"/>
      <c r="C68" s="4"/>
      <c r="D68" s="4"/>
    </row>
    <row r="69" spans="1:4" ht="67.5" x14ac:dyDescent="0.25">
      <c r="A69" s="5" t="s">
        <v>81</v>
      </c>
      <c r="B69" s="6" t="s">
        <v>82</v>
      </c>
      <c r="C69" s="2">
        <v>0</v>
      </c>
      <c r="D69" s="2">
        <v>0</v>
      </c>
    </row>
    <row r="70" spans="1:4" x14ac:dyDescent="0.25">
      <c r="A70" s="7"/>
      <c r="B70" s="7"/>
      <c r="C70" s="7"/>
      <c r="D70" s="7"/>
    </row>
    <row r="71" spans="1:4" x14ac:dyDescent="0.25">
      <c r="A71" s="8"/>
      <c r="B71" s="8"/>
      <c r="C71" s="8"/>
      <c r="D71" s="8"/>
    </row>
    <row r="72" spans="1:4" ht="56.25" x14ac:dyDescent="0.25">
      <c r="A72" s="9" t="s">
        <v>83</v>
      </c>
      <c r="B72" s="10" t="s">
        <v>84</v>
      </c>
      <c r="C72" s="1">
        <v>3635049.03</v>
      </c>
      <c r="D72" s="1">
        <v>18175245.129999999</v>
      </c>
    </row>
    <row r="73" spans="1:4" x14ac:dyDescent="0.25">
      <c r="A73" s="11"/>
      <c r="B73" s="11"/>
      <c r="C73" s="11"/>
      <c r="D73" s="11"/>
    </row>
    <row r="74" spans="1:4" x14ac:dyDescent="0.25">
      <c r="A74" s="4"/>
      <c r="B74" s="4"/>
      <c r="C74" s="4"/>
      <c r="D74" s="4"/>
    </row>
    <row r="75" spans="1:4" ht="56.25" x14ac:dyDescent="0.25">
      <c r="A75" s="5" t="s">
        <v>85</v>
      </c>
      <c r="B75" s="6" t="s">
        <v>86</v>
      </c>
      <c r="C75" s="2">
        <v>0</v>
      </c>
      <c r="D75" s="2">
        <v>179390.72</v>
      </c>
    </row>
    <row r="76" spans="1:4" x14ac:dyDescent="0.25">
      <c r="A76" s="7"/>
      <c r="B76" s="7"/>
      <c r="C76" s="7"/>
      <c r="D76" s="7"/>
    </row>
    <row r="77" spans="1:4" x14ac:dyDescent="0.25">
      <c r="A77" s="8"/>
      <c r="B77" s="8"/>
      <c r="C77" s="8"/>
      <c r="D77" s="8"/>
    </row>
    <row r="78" spans="1:4" ht="56.25" x14ac:dyDescent="0.25">
      <c r="A78" s="9" t="s">
        <v>87</v>
      </c>
      <c r="B78" s="10" t="s">
        <v>88</v>
      </c>
      <c r="C78" s="1">
        <v>3558319.2</v>
      </c>
      <c r="D78" s="1">
        <v>3558319.2</v>
      </c>
    </row>
    <row r="79" spans="1:4" x14ac:dyDescent="0.25">
      <c r="A79" s="11"/>
      <c r="B79" s="11"/>
      <c r="C79" s="11"/>
      <c r="D79" s="11"/>
    </row>
    <row r="80" spans="1:4" x14ac:dyDescent="0.25">
      <c r="A80" s="4"/>
      <c r="B80" s="4"/>
      <c r="C80" s="4"/>
      <c r="D80" s="4"/>
    </row>
    <row r="81" spans="1:4" ht="56.25" x14ac:dyDescent="0.25">
      <c r="A81" s="5" t="s">
        <v>89</v>
      </c>
      <c r="B81" s="6" t="s">
        <v>90</v>
      </c>
      <c r="C81" s="2">
        <v>3412259.4</v>
      </c>
      <c r="D81" s="2">
        <v>10236778.199999999</v>
      </c>
    </row>
    <row r="82" spans="1:4" x14ac:dyDescent="0.25">
      <c r="A82" s="7"/>
      <c r="B82" s="7"/>
      <c r="C82" s="7"/>
      <c r="D82" s="7"/>
    </row>
    <row r="83" spans="1:4" x14ac:dyDescent="0.25">
      <c r="A83" s="8"/>
      <c r="B83" s="8"/>
      <c r="C83" s="8"/>
      <c r="D83" s="8"/>
    </row>
    <row r="84" spans="1:4" ht="67.5" x14ac:dyDescent="0.25">
      <c r="A84" s="9" t="s">
        <v>91</v>
      </c>
      <c r="B84" s="10" t="s">
        <v>92</v>
      </c>
      <c r="C84" s="1">
        <v>13158250.710000001</v>
      </c>
      <c r="D84" s="1">
        <v>13158250.710000001</v>
      </c>
    </row>
    <row r="85" spans="1:4" x14ac:dyDescent="0.25">
      <c r="A85" s="11"/>
      <c r="B85" s="11"/>
      <c r="C85" s="11"/>
      <c r="D85" s="11"/>
    </row>
    <row r="86" spans="1:4" x14ac:dyDescent="0.25">
      <c r="A86" s="4"/>
      <c r="B86" s="4"/>
      <c r="C86" s="4"/>
      <c r="D86" s="4"/>
    </row>
    <row r="87" spans="1:4" ht="56.25" x14ac:dyDescent="0.25">
      <c r="A87" s="5" t="s">
        <v>93</v>
      </c>
      <c r="B87" s="6" t="s">
        <v>94</v>
      </c>
      <c r="C87" s="2">
        <v>0</v>
      </c>
      <c r="D87" s="2">
        <v>478335.63</v>
      </c>
    </row>
    <row r="88" spans="1:4" x14ac:dyDescent="0.25">
      <c r="A88" s="7"/>
      <c r="B88" s="7"/>
      <c r="C88" s="7"/>
      <c r="D88" s="7"/>
    </row>
    <row r="89" spans="1:4" x14ac:dyDescent="0.25">
      <c r="A89" s="8"/>
      <c r="B89" s="8"/>
      <c r="C89" s="8"/>
      <c r="D89" s="8"/>
    </row>
    <row r="90" spans="1:4" ht="56.25" x14ac:dyDescent="0.25">
      <c r="A90" s="9" t="s">
        <v>95</v>
      </c>
      <c r="B90" s="10" t="s">
        <v>96</v>
      </c>
      <c r="C90" s="1">
        <v>0</v>
      </c>
      <c r="D90" s="1">
        <v>1215867.69</v>
      </c>
    </row>
    <row r="91" spans="1:4" x14ac:dyDescent="0.25">
      <c r="A91" s="11"/>
      <c r="B91" s="11"/>
      <c r="C91" s="11"/>
      <c r="D91" s="11"/>
    </row>
    <row r="92" spans="1:4" x14ac:dyDescent="0.25">
      <c r="A92" s="4"/>
      <c r="B92" s="4"/>
      <c r="C92" s="4"/>
      <c r="D92" s="4"/>
    </row>
    <row r="93" spans="1:4" ht="56.25" x14ac:dyDescent="0.25">
      <c r="A93" s="5" t="s">
        <v>97</v>
      </c>
      <c r="B93" s="6" t="s">
        <v>98</v>
      </c>
      <c r="C93" s="2">
        <v>0</v>
      </c>
      <c r="D93" s="2">
        <v>181803.1</v>
      </c>
    </row>
    <row r="94" spans="1:4" x14ac:dyDescent="0.25">
      <c r="A94" s="7"/>
      <c r="B94" s="7"/>
      <c r="C94" s="7"/>
      <c r="D94" s="7"/>
    </row>
    <row r="95" spans="1:4" x14ac:dyDescent="0.25">
      <c r="A95" s="8"/>
      <c r="B95" s="8"/>
      <c r="C95" s="8"/>
      <c r="D95" s="8"/>
    </row>
    <row r="96" spans="1:4" ht="33.75" x14ac:dyDescent="0.25">
      <c r="A96" s="9" t="s">
        <v>99</v>
      </c>
      <c r="B96" s="10" t="s">
        <v>100</v>
      </c>
      <c r="C96" s="1">
        <v>336080.2</v>
      </c>
      <c r="D96" s="1">
        <v>336080.2</v>
      </c>
    </row>
    <row r="97" spans="1:4" x14ac:dyDescent="0.25">
      <c r="A97" s="11"/>
      <c r="B97" s="11"/>
      <c r="C97" s="11"/>
      <c r="D97" s="11"/>
    </row>
    <row r="98" spans="1:4" x14ac:dyDescent="0.25">
      <c r="A98" s="4"/>
      <c r="B98" s="4"/>
      <c r="C98" s="4"/>
      <c r="D98" s="4"/>
    </row>
    <row r="99" spans="1:4" ht="67.5" x14ac:dyDescent="0.25">
      <c r="A99" s="5" t="s">
        <v>101</v>
      </c>
      <c r="B99" s="6" t="s">
        <v>102</v>
      </c>
      <c r="C99" s="2">
        <v>0</v>
      </c>
      <c r="D99" s="2">
        <v>4873420.45</v>
      </c>
    </row>
    <row r="100" spans="1:4" x14ac:dyDescent="0.25">
      <c r="A100" s="7"/>
      <c r="B100" s="7"/>
      <c r="C100" s="7"/>
      <c r="D100" s="7"/>
    </row>
    <row r="101" spans="1:4" x14ac:dyDescent="0.25">
      <c r="A101" s="8"/>
      <c r="B101" s="8"/>
      <c r="C101" s="8"/>
      <c r="D101" s="8"/>
    </row>
    <row r="102" spans="1:4" ht="78.75" x14ac:dyDescent="0.25">
      <c r="A102" s="9" t="s">
        <v>103</v>
      </c>
      <c r="B102" s="10" t="s">
        <v>104</v>
      </c>
      <c r="C102" s="1">
        <v>0</v>
      </c>
      <c r="D102" s="1">
        <v>1383029.09</v>
      </c>
    </row>
    <row r="103" spans="1:4" x14ac:dyDescent="0.25">
      <c r="A103" s="11"/>
      <c r="B103" s="11"/>
      <c r="C103" s="11"/>
      <c r="D103" s="11"/>
    </row>
    <row r="104" spans="1:4" x14ac:dyDescent="0.25">
      <c r="A104" s="4"/>
      <c r="B104" s="4"/>
      <c r="C104" s="4"/>
      <c r="D104" s="4"/>
    </row>
    <row r="105" spans="1:4" ht="78.75" x14ac:dyDescent="0.25">
      <c r="A105" s="5" t="s">
        <v>105</v>
      </c>
      <c r="B105" s="6" t="s">
        <v>106</v>
      </c>
      <c r="C105" s="2">
        <v>0</v>
      </c>
      <c r="D105" s="2">
        <v>6775665.2999999998</v>
      </c>
    </row>
    <row r="106" spans="1:4" x14ac:dyDescent="0.25">
      <c r="A106" s="7"/>
      <c r="B106" s="7"/>
      <c r="C106" s="7"/>
      <c r="D106" s="7"/>
    </row>
    <row r="107" spans="1:4" x14ac:dyDescent="0.25">
      <c r="A107" s="8"/>
      <c r="B107" s="8"/>
      <c r="C107" s="8"/>
      <c r="D107" s="8"/>
    </row>
    <row r="108" spans="1:4" ht="56.25" x14ac:dyDescent="0.25">
      <c r="A108" s="9" t="s">
        <v>107</v>
      </c>
      <c r="B108" s="10" t="s">
        <v>108</v>
      </c>
      <c r="C108" s="1">
        <v>0</v>
      </c>
      <c r="D108" s="1">
        <v>8105644</v>
      </c>
    </row>
    <row r="109" spans="1:4" x14ac:dyDescent="0.25">
      <c r="A109" s="11"/>
      <c r="B109" s="11"/>
      <c r="C109" s="11"/>
      <c r="D109" s="11"/>
    </row>
    <row r="110" spans="1:4" x14ac:dyDescent="0.25">
      <c r="A110" s="4"/>
      <c r="B110" s="4"/>
      <c r="C110" s="4"/>
      <c r="D110" s="4"/>
    </row>
    <row r="111" spans="1:4" ht="56.25" x14ac:dyDescent="0.25">
      <c r="A111" s="5" t="s">
        <v>109</v>
      </c>
      <c r="B111" s="6" t="s">
        <v>110</v>
      </c>
      <c r="C111" s="2">
        <v>0</v>
      </c>
      <c r="D111" s="2">
        <v>159854.39999999999</v>
      </c>
    </row>
    <row r="112" spans="1:4" x14ac:dyDescent="0.25">
      <c r="A112" s="7"/>
      <c r="B112" s="7"/>
      <c r="C112" s="7"/>
      <c r="D112" s="7"/>
    </row>
    <row r="113" spans="1:4" x14ac:dyDescent="0.25">
      <c r="A113" s="8"/>
      <c r="B113" s="8"/>
      <c r="C113" s="8"/>
      <c r="D113" s="8"/>
    </row>
    <row r="114" spans="1:4" ht="67.5" x14ac:dyDescent="0.25">
      <c r="A114" s="9" t="s">
        <v>1</v>
      </c>
      <c r="B114" s="10" t="s">
        <v>12</v>
      </c>
      <c r="C114" s="1">
        <v>24089944.5</v>
      </c>
      <c r="D114" s="1">
        <v>24089944.5</v>
      </c>
    </row>
    <row r="115" spans="1:4" x14ac:dyDescent="0.25">
      <c r="A115" s="11"/>
      <c r="B115" s="11"/>
      <c r="C115" s="11"/>
      <c r="D115" s="11"/>
    </row>
    <row r="116" spans="1:4" x14ac:dyDescent="0.25">
      <c r="A116" s="4"/>
      <c r="B116" s="4"/>
      <c r="C116" s="4"/>
      <c r="D116" s="4"/>
    </row>
    <row r="117" spans="1:4" ht="45" x14ac:dyDescent="0.25">
      <c r="A117" s="5" t="s">
        <v>111</v>
      </c>
      <c r="B117" s="6" t="s">
        <v>112</v>
      </c>
      <c r="C117" s="2">
        <v>0</v>
      </c>
      <c r="D117" s="2">
        <v>283322.3</v>
      </c>
    </row>
    <row r="118" spans="1:4" x14ac:dyDescent="0.25">
      <c r="A118" s="7"/>
      <c r="B118" s="7"/>
      <c r="C118" s="7"/>
      <c r="D118" s="7"/>
    </row>
    <row r="119" spans="1:4" x14ac:dyDescent="0.25">
      <c r="A119" s="8"/>
      <c r="B119" s="8"/>
      <c r="C119" s="8"/>
      <c r="D119" s="8"/>
    </row>
    <row r="120" spans="1:4" ht="56.25" x14ac:dyDescent="0.25">
      <c r="A120" s="9" t="s">
        <v>113</v>
      </c>
      <c r="B120" s="10" t="s">
        <v>114</v>
      </c>
      <c r="C120" s="1">
        <v>0</v>
      </c>
      <c r="D120" s="1">
        <v>12087832.5</v>
      </c>
    </row>
    <row r="121" spans="1:4" x14ac:dyDescent="0.25">
      <c r="A121" s="11"/>
      <c r="B121" s="11"/>
      <c r="C121" s="11"/>
      <c r="D121" s="11"/>
    </row>
    <row r="122" spans="1:4" x14ac:dyDescent="0.25">
      <c r="A122" s="4"/>
      <c r="B122" s="4"/>
      <c r="C122" s="4"/>
      <c r="D122" s="4"/>
    </row>
    <row r="123" spans="1:4" ht="56.25" x14ac:dyDescent="0.25">
      <c r="A123" s="5" t="s">
        <v>115</v>
      </c>
      <c r="B123" s="6" t="s">
        <v>116</v>
      </c>
      <c r="C123" s="2">
        <v>0</v>
      </c>
      <c r="D123" s="2">
        <v>181803.4</v>
      </c>
    </row>
    <row r="124" spans="1:4" x14ac:dyDescent="0.25">
      <c r="A124" s="7"/>
      <c r="B124" s="7"/>
      <c r="C124" s="7"/>
      <c r="D124" s="7"/>
    </row>
    <row r="125" spans="1:4" x14ac:dyDescent="0.25">
      <c r="A125" s="8"/>
      <c r="B125" s="8"/>
      <c r="C125" s="8"/>
      <c r="D125" s="8"/>
    </row>
    <row r="126" spans="1:4" ht="78.75" x14ac:dyDescent="0.25">
      <c r="A126" s="9" t="s">
        <v>117</v>
      </c>
      <c r="B126" s="10" t="s">
        <v>118</v>
      </c>
      <c r="C126" s="1">
        <v>0</v>
      </c>
      <c r="D126" s="1">
        <v>788788.41</v>
      </c>
    </row>
    <row r="127" spans="1:4" x14ac:dyDescent="0.25">
      <c r="A127" s="11"/>
      <c r="B127" s="11"/>
      <c r="C127" s="11"/>
      <c r="D127" s="11"/>
    </row>
    <row r="128" spans="1:4" x14ac:dyDescent="0.25">
      <c r="A128" s="4"/>
      <c r="B128" s="4"/>
      <c r="C128" s="4"/>
      <c r="D128" s="4"/>
    </row>
    <row r="129" spans="1:4" ht="33.75" x14ac:dyDescent="0.25">
      <c r="A129" s="5" t="s">
        <v>119</v>
      </c>
      <c r="B129" s="6" t="s">
        <v>120</v>
      </c>
      <c r="C129" s="2">
        <v>0</v>
      </c>
      <c r="D129" s="2">
        <v>599108.11</v>
      </c>
    </row>
    <row r="130" spans="1:4" x14ac:dyDescent="0.25">
      <c r="A130" s="7"/>
      <c r="B130" s="7"/>
      <c r="C130" s="7"/>
      <c r="D130" s="7"/>
    </row>
    <row r="131" spans="1:4" x14ac:dyDescent="0.25">
      <c r="A131" s="8"/>
      <c r="B131" s="8"/>
      <c r="C131" s="8"/>
      <c r="D131" s="8"/>
    </row>
    <row r="132" spans="1:4" ht="78.75" x14ac:dyDescent="0.25">
      <c r="A132" s="9" t="s">
        <v>121</v>
      </c>
      <c r="B132" s="10" t="s">
        <v>122</v>
      </c>
      <c r="C132" s="1">
        <v>0</v>
      </c>
      <c r="D132" s="1">
        <v>195625.92</v>
      </c>
    </row>
    <row r="133" spans="1:4" x14ac:dyDescent="0.25">
      <c r="A133" s="11"/>
      <c r="B133" s="11"/>
      <c r="C133" s="11"/>
      <c r="D133" s="11"/>
    </row>
    <row r="134" spans="1:4" x14ac:dyDescent="0.25">
      <c r="A134" s="4"/>
      <c r="B134" s="4"/>
      <c r="C134" s="4"/>
      <c r="D134" s="4"/>
    </row>
    <row r="135" spans="1:4" ht="67.5" x14ac:dyDescent="0.25">
      <c r="A135" s="5" t="s">
        <v>123</v>
      </c>
      <c r="B135" s="6" t="s">
        <v>124</v>
      </c>
      <c r="C135" s="2">
        <v>0</v>
      </c>
      <c r="D135" s="2">
        <v>65578.87</v>
      </c>
    </row>
    <row r="136" spans="1:4" x14ac:dyDescent="0.25">
      <c r="A136" s="7"/>
      <c r="B136" s="7"/>
      <c r="C136" s="7"/>
      <c r="D136" s="7"/>
    </row>
    <row r="137" spans="1:4" x14ac:dyDescent="0.25">
      <c r="A137" s="8"/>
      <c r="B137" s="8"/>
      <c r="C137" s="8"/>
      <c r="D137" s="8"/>
    </row>
    <row r="138" spans="1:4" ht="67.5" x14ac:dyDescent="0.25">
      <c r="A138" s="9" t="s">
        <v>125</v>
      </c>
      <c r="B138" s="10" t="s">
        <v>126</v>
      </c>
      <c r="C138" s="1">
        <v>0</v>
      </c>
      <c r="D138" s="1">
        <v>94079929.549999997</v>
      </c>
    </row>
    <row r="139" spans="1:4" x14ac:dyDescent="0.25">
      <c r="A139" s="11"/>
      <c r="B139" s="11"/>
      <c r="C139" s="11"/>
      <c r="D139" s="11"/>
    </row>
    <row r="140" spans="1:4" x14ac:dyDescent="0.25">
      <c r="A140" s="4"/>
      <c r="B140" s="4"/>
      <c r="C140" s="4"/>
      <c r="D140" s="4"/>
    </row>
    <row r="141" spans="1:4" ht="56.25" x14ac:dyDescent="0.25">
      <c r="A141" s="5" t="s">
        <v>127</v>
      </c>
      <c r="B141" s="6" t="s">
        <v>128</v>
      </c>
      <c r="C141" s="2">
        <v>0</v>
      </c>
      <c r="D141" s="2">
        <v>17062682.469999999</v>
      </c>
    </row>
    <row r="142" spans="1:4" x14ac:dyDescent="0.25">
      <c r="A142" s="7"/>
      <c r="B142" s="7"/>
      <c r="C142" s="7"/>
      <c r="D142" s="7"/>
    </row>
    <row r="143" spans="1:4" x14ac:dyDescent="0.25">
      <c r="A143" s="8"/>
      <c r="B143" s="8"/>
      <c r="C143" s="8"/>
      <c r="D143" s="8"/>
    </row>
    <row r="144" spans="1:4" ht="78.75" x14ac:dyDescent="0.25">
      <c r="A144" s="9" t="s">
        <v>129</v>
      </c>
      <c r="B144" s="10" t="s">
        <v>130</v>
      </c>
      <c r="C144" s="1">
        <v>0</v>
      </c>
      <c r="D144" s="1">
        <v>508343.65</v>
      </c>
    </row>
    <row r="145" spans="1:4" x14ac:dyDescent="0.25">
      <c r="A145" s="11"/>
      <c r="B145" s="11"/>
      <c r="C145" s="11"/>
      <c r="D145" s="11"/>
    </row>
    <row r="146" spans="1:4" x14ac:dyDescent="0.25">
      <c r="A146" s="4"/>
      <c r="B146" s="4"/>
      <c r="C146" s="4"/>
      <c r="D146" s="4"/>
    </row>
    <row r="147" spans="1:4" ht="56.25" x14ac:dyDescent="0.25">
      <c r="A147" s="5" t="s">
        <v>131</v>
      </c>
      <c r="B147" s="6" t="s">
        <v>132</v>
      </c>
      <c r="C147" s="2">
        <v>716623.16</v>
      </c>
      <c r="D147" s="2">
        <v>3583115.8</v>
      </c>
    </row>
    <row r="148" spans="1:4" x14ac:dyDescent="0.25">
      <c r="A148" s="7"/>
      <c r="B148" s="7"/>
      <c r="C148" s="7"/>
      <c r="D148" s="7"/>
    </row>
    <row r="149" spans="1:4" x14ac:dyDescent="0.25">
      <c r="A149" s="8"/>
      <c r="B149" s="8"/>
      <c r="C149" s="8"/>
      <c r="D149" s="8"/>
    </row>
    <row r="150" spans="1:4" ht="67.5" x14ac:dyDescent="0.25">
      <c r="A150" s="9" t="s">
        <v>2</v>
      </c>
      <c r="B150" s="10" t="s">
        <v>13</v>
      </c>
      <c r="C150" s="1">
        <v>218199.31</v>
      </c>
      <c r="D150" s="1">
        <v>218199.31</v>
      </c>
    </row>
    <row r="151" spans="1:4" x14ac:dyDescent="0.25">
      <c r="A151" s="11"/>
      <c r="B151" s="11"/>
      <c r="C151" s="11"/>
      <c r="D151" s="11"/>
    </row>
    <row r="152" spans="1:4" x14ac:dyDescent="0.25">
      <c r="A152" s="4"/>
      <c r="B152" s="4"/>
      <c r="C152" s="4"/>
      <c r="D152" s="4"/>
    </row>
    <row r="153" spans="1:4" ht="56.25" x14ac:dyDescent="0.25">
      <c r="A153" s="5" t="s">
        <v>133</v>
      </c>
      <c r="B153" s="6" t="s">
        <v>134</v>
      </c>
      <c r="C153" s="2">
        <v>564671.38</v>
      </c>
      <c r="D153" s="2">
        <v>564671.38</v>
      </c>
    </row>
    <row r="154" spans="1:4" x14ac:dyDescent="0.25">
      <c r="A154" s="7"/>
      <c r="B154" s="7"/>
      <c r="C154" s="7"/>
      <c r="D154" s="7"/>
    </row>
    <row r="155" spans="1:4" x14ac:dyDescent="0.25">
      <c r="A155" s="8"/>
      <c r="B155" s="8"/>
      <c r="C155" s="8"/>
      <c r="D155" s="8"/>
    </row>
    <row r="156" spans="1:4" ht="67.5" x14ac:dyDescent="0.25">
      <c r="A156" s="9" t="s">
        <v>135</v>
      </c>
      <c r="B156" s="10" t="s">
        <v>136</v>
      </c>
      <c r="C156" s="1">
        <v>0</v>
      </c>
      <c r="D156" s="1">
        <v>183494.94</v>
      </c>
    </row>
    <row r="157" spans="1:4" x14ac:dyDescent="0.25">
      <c r="A157" s="11"/>
      <c r="B157" s="11"/>
      <c r="C157" s="11"/>
      <c r="D157" s="11"/>
    </row>
    <row r="158" spans="1:4" x14ac:dyDescent="0.25">
      <c r="A158" s="4"/>
      <c r="B158" s="4"/>
      <c r="C158" s="4"/>
      <c r="D158" s="4"/>
    </row>
    <row r="159" spans="1:4" ht="67.5" x14ac:dyDescent="0.25">
      <c r="A159" s="5" t="s">
        <v>137</v>
      </c>
      <c r="B159" s="6" t="s">
        <v>138</v>
      </c>
      <c r="C159" s="2">
        <v>0</v>
      </c>
      <c r="D159" s="2">
        <v>121347.78</v>
      </c>
    </row>
    <row r="160" spans="1:4" x14ac:dyDescent="0.25">
      <c r="A160" s="7"/>
      <c r="B160" s="7"/>
      <c r="C160" s="7"/>
      <c r="D160" s="7"/>
    </row>
    <row r="161" spans="1:4" x14ac:dyDescent="0.25">
      <c r="A161" s="8"/>
      <c r="B161" s="8"/>
      <c r="C161" s="8"/>
      <c r="D161" s="8"/>
    </row>
    <row r="162" spans="1:4" ht="56.25" x14ac:dyDescent="0.25">
      <c r="A162" s="9" t="s">
        <v>139</v>
      </c>
      <c r="B162" s="10" t="s">
        <v>140</v>
      </c>
      <c r="C162" s="1">
        <v>0</v>
      </c>
      <c r="D162" s="1">
        <v>61029.83</v>
      </c>
    </row>
    <row r="163" spans="1:4" x14ac:dyDescent="0.25">
      <c r="A163" s="11"/>
      <c r="B163" s="11"/>
      <c r="C163" s="11"/>
      <c r="D163" s="11"/>
    </row>
    <row r="164" spans="1:4" x14ac:dyDescent="0.25">
      <c r="A164" s="4"/>
      <c r="B164" s="4"/>
      <c r="C164" s="4"/>
      <c r="D164" s="4"/>
    </row>
    <row r="165" spans="1:4" ht="67.5" x14ac:dyDescent="0.25">
      <c r="A165" s="5" t="s">
        <v>141</v>
      </c>
      <c r="B165" s="6" t="s">
        <v>142</v>
      </c>
      <c r="C165" s="2">
        <v>0</v>
      </c>
      <c r="D165" s="2">
        <v>1040490.23</v>
      </c>
    </row>
    <row r="166" spans="1:4" x14ac:dyDescent="0.25">
      <c r="A166" s="7"/>
      <c r="B166" s="7"/>
      <c r="C166" s="7"/>
      <c r="D166" s="7"/>
    </row>
    <row r="167" spans="1:4" x14ac:dyDescent="0.25">
      <c r="A167" s="8"/>
      <c r="B167" s="8"/>
      <c r="C167" s="8"/>
      <c r="D167" s="8"/>
    </row>
    <row r="168" spans="1:4" ht="90" x14ac:dyDescent="0.25">
      <c r="A168" s="9" t="s">
        <v>143</v>
      </c>
      <c r="B168" s="10" t="s">
        <v>144</v>
      </c>
      <c r="C168" s="1">
        <v>0</v>
      </c>
      <c r="D168" s="1">
        <v>232318.79</v>
      </c>
    </row>
    <row r="169" spans="1:4" x14ac:dyDescent="0.25">
      <c r="A169" s="11"/>
      <c r="B169" s="11"/>
      <c r="C169" s="11"/>
      <c r="D169" s="11"/>
    </row>
    <row r="170" spans="1:4" x14ac:dyDescent="0.25">
      <c r="A170" s="4"/>
      <c r="B170" s="4"/>
      <c r="C170" s="4"/>
      <c r="D170" s="4"/>
    </row>
    <row r="171" spans="1:4" ht="56.25" x14ac:dyDescent="0.25">
      <c r="A171" s="5" t="s">
        <v>3</v>
      </c>
      <c r="B171" s="6" t="s">
        <v>14</v>
      </c>
      <c r="C171" s="2">
        <v>137269.82</v>
      </c>
      <c r="D171" s="2">
        <v>137269.82</v>
      </c>
    </row>
    <row r="172" spans="1:4" x14ac:dyDescent="0.25">
      <c r="A172" s="7"/>
      <c r="B172" s="7"/>
      <c r="C172" s="7"/>
      <c r="D172" s="7"/>
    </row>
    <row r="173" spans="1:4" x14ac:dyDescent="0.25">
      <c r="A173" s="8"/>
      <c r="B173" s="8"/>
      <c r="C173" s="8"/>
      <c r="D173" s="8"/>
    </row>
    <row r="174" spans="1:4" ht="33.75" x14ac:dyDescent="0.25">
      <c r="A174" s="9" t="s">
        <v>145</v>
      </c>
      <c r="B174" s="10" t="s">
        <v>146</v>
      </c>
      <c r="C174" s="1">
        <v>1314589.32</v>
      </c>
      <c r="D174" s="1">
        <v>20244675.559999999</v>
      </c>
    </row>
    <row r="175" spans="1:4" x14ac:dyDescent="0.25">
      <c r="A175" s="11"/>
      <c r="B175" s="11"/>
      <c r="C175" s="11"/>
      <c r="D175" s="11"/>
    </row>
    <row r="176" spans="1:4" x14ac:dyDescent="0.25">
      <c r="A176" s="4"/>
      <c r="B176" s="4"/>
      <c r="C176" s="4"/>
      <c r="D176" s="4"/>
    </row>
    <row r="177" spans="1:4" ht="67.5" x14ac:dyDescent="0.25">
      <c r="A177" s="5" t="s">
        <v>147</v>
      </c>
      <c r="B177" s="6" t="s">
        <v>148</v>
      </c>
      <c r="C177" s="2">
        <v>67810.92</v>
      </c>
      <c r="D177" s="2">
        <v>67810.92</v>
      </c>
    </row>
    <row r="178" spans="1:4" x14ac:dyDescent="0.25">
      <c r="A178" s="7"/>
      <c r="B178" s="7"/>
      <c r="C178" s="7"/>
      <c r="D178" s="7"/>
    </row>
    <row r="179" spans="1:4" x14ac:dyDescent="0.25">
      <c r="A179" s="8"/>
      <c r="B179" s="8"/>
      <c r="C179" s="8"/>
      <c r="D179" s="8"/>
    </row>
    <row r="180" spans="1:4" ht="78.75" x14ac:dyDescent="0.25">
      <c r="A180" s="9" t="s">
        <v>4</v>
      </c>
      <c r="B180" s="10" t="s">
        <v>15</v>
      </c>
      <c r="C180" s="1">
        <v>203883.27</v>
      </c>
      <c r="D180" s="1">
        <v>203883.27</v>
      </c>
    </row>
    <row r="181" spans="1:4" x14ac:dyDescent="0.25">
      <c r="A181" s="11"/>
      <c r="B181" s="11"/>
      <c r="C181" s="11"/>
      <c r="D181" s="11"/>
    </row>
    <row r="182" spans="1:4" x14ac:dyDescent="0.25">
      <c r="A182" s="4"/>
      <c r="B182" s="4"/>
      <c r="C182" s="4"/>
      <c r="D182" s="4"/>
    </row>
    <row r="183" spans="1:4" ht="78.75" x14ac:dyDescent="0.25">
      <c r="A183" s="5" t="s">
        <v>5</v>
      </c>
      <c r="B183" s="6" t="s">
        <v>16</v>
      </c>
      <c r="C183" s="2">
        <v>567348.56999999995</v>
      </c>
      <c r="D183" s="2">
        <v>567348.56999999995</v>
      </c>
    </row>
    <row r="184" spans="1:4" x14ac:dyDescent="0.25">
      <c r="A184" s="7"/>
      <c r="B184" s="7"/>
      <c r="C184" s="7"/>
      <c r="D184" s="7"/>
    </row>
    <row r="185" spans="1:4" x14ac:dyDescent="0.25">
      <c r="A185" s="8"/>
      <c r="B185" s="8"/>
      <c r="C185" s="8"/>
      <c r="D185" s="8"/>
    </row>
    <row r="186" spans="1:4" ht="67.5" x14ac:dyDescent="0.25">
      <c r="A186" s="9" t="s">
        <v>239</v>
      </c>
      <c r="B186" s="10" t="s">
        <v>240</v>
      </c>
      <c r="C186" s="1">
        <v>9234671.9499999993</v>
      </c>
      <c r="D186" s="1">
        <v>9234671.9499999993</v>
      </c>
    </row>
    <row r="187" spans="1:4" x14ac:dyDescent="0.25">
      <c r="A187" s="11"/>
      <c r="B187" s="11"/>
      <c r="C187" s="11"/>
      <c r="D187" s="11"/>
    </row>
    <row r="188" spans="1:4" x14ac:dyDescent="0.25">
      <c r="A188" s="4"/>
      <c r="B188" s="4"/>
      <c r="C188" s="4"/>
      <c r="D188" s="4"/>
    </row>
    <row r="189" spans="1:4" ht="56.25" x14ac:dyDescent="0.25">
      <c r="A189" s="5" t="s">
        <v>149</v>
      </c>
      <c r="B189" s="6" t="s">
        <v>150</v>
      </c>
      <c r="C189" s="2">
        <v>137269.82</v>
      </c>
      <c r="D189" s="2">
        <v>137269.82</v>
      </c>
    </row>
    <row r="190" spans="1:4" x14ac:dyDescent="0.25">
      <c r="A190" s="7"/>
      <c r="B190" s="7"/>
      <c r="C190" s="7"/>
      <c r="D190" s="7"/>
    </row>
    <row r="191" spans="1:4" x14ac:dyDescent="0.25">
      <c r="A191" s="8"/>
      <c r="B191" s="8"/>
      <c r="C191" s="8"/>
      <c r="D191" s="8"/>
    </row>
    <row r="192" spans="1:4" ht="56.25" x14ac:dyDescent="0.25">
      <c r="A192" s="9" t="s">
        <v>151</v>
      </c>
      <c r="B192" s="10" t="s">
        <v>152</v>
      </c>
      <c r="C192" s="1">
        <v>199314.38</v>
      </c>
      <c r="D192" s="1">
        <v>199314.38</v>
      </c>
    </row>
    <row r="193" spans="1:4" x14ac:dyDescent="0.25">
      <c r="A193" s="11"/>
      <c r="B193" s="11"/>
      <c r="C193" s="11"/>
      <c r="D193" s="11"/>
    </row>
    <row r="194" spans="1:4" x14ac:dyDescent="0.25">
      <c r="A194" s="4"/>
      <c r="B194" s="4"/>
      <c r="C194" s="4"/>
      <c r="D194" s="4"/>
    </row>
    <row r="195" spans="1:4" ht="67.5" x14ac:dyDescent="0.25">
      <c r="A195" s="5" t="s">
        <v>153</v>
      </c>
      <c r="B195" s="6" t="s">
        <v>154</v>
      </c>
      <c r="C195" s="2">
        <v>203883.27</v>
      </c>
      <c r="D195" s="2">
        <v>203883.27</v>
      </c>
    </row>
    <row r="196" spans="1:4" x14ac:dyDescent="0.25">
      <c r="A196" s="7"/>
      <c r="B196" s="7"/>
      <c r="C196" s="7"/>
      <c r="D196" s="7"/>
    </row>
    <row r="197" spans="1:4" x14ac:dyDescent="0.25">
      <c r="A197" s="8"/>
      <c r="B197" s="8"/>
      <c r="C197" s="8"/>
      <c r="D197" s="8"/>
    </row>
    <row r="198" spans="1:4" ht="56.25" x14ac:dyDescent="0.25">
      <c r="A198" s="9" t="s">
        <v>155</v>
      </c>
      <c r="B198" s="10" t="s">
        <v>156</v>
      </c>
      <c r="C198" s="1">
        <v>0</v>
      </c>
      <c r="D198" s="1">
        <v>203561619</v>
      </c>
    </row>
    <row r="199" spans="1:4" x14ac:dyDescent="0.25">
      <c r="A199" s="11"/>
      <c r="B199" s="11"/>
      <c r="C199" s="11"/>
      <c r="D199" s="11"/>
    </row>
    <row r="200" spans="1:4" x14ac:dyDescent="0.25">
      <c r="A200" s="4"/>
      <c r="B200" s="4"/>
      <c r="C200" s="4"/>
      <c r="D200" s="4"/>
    </row>
    <row r="201" spans="1:4" ht="56.25" x14ac:dyDescent="0.25">
      <c r="A201" s="5" t="s">
        <v>157</v>
      </c>
      <c r="B201" s="6" t="s">
        <v>158</v>
      </c>
      <c r="C201" s="2">
        <v>0</v>
      </c>
      <c r="D201" s="2">
        <v>127171014.53</v>
      </c>
    </row>
    <row r="202" spans="1:4" x14ac:dyDescent="0.25">
      <c r="A202" s="7"/>
      <c r="B202" s="7"/>
      <c r="C202" s="7"/>
      <c r="D202" s="7"/>
    </row>
    <row r="203" spans="1:4" x14ac:dyDescent="0.25">
      <c r="A203" s="8"/>
      <c r="B203" s="8"/>
      <c r="C203" s="8"/>
      <c r="D203" s="8"/>
    </row>
    <row r="204" spans="1:4" ht="45" x14ac:dyDescent="0.25">
      <c r="A204" s="9" t="s">
        <v>159</v>
      </c>
      <c r="B204" s="10" t="s">
        <v>160</v>
      </c>
      <c r="C204" s="1">
        <v>0</v>
      </c>
      <c r="D204" s="1">
        <v>165630000</v>
      </c>
    </row>
    <row r="205" spans="1:4" x14ac:dyDescent="0.25">
      <c r="A205" s="11"/>
      <c r="B205" s="11"/>
      <c r="C205" s="11"/>
      <c r="D205" s="11"/>
    </row>
    <row r="206" spans="1:4" x14ac:dyDescent="0.25">
      <c r="A206" s="4"/>
      <c r="B206" s="4"/>
      <c r="C206" s="4"/>
      <c r="D206" s="4"/>
    </row>
    <row r="207" spans="1:4" ht="33.75" x14ac:dyDescent="0.25">
      <c r="A207" s="5" t="s">
        <v>161</v>
      </c>
      <c r="B207" s="6" t="s">
        <v>162</v>
      </c>
      <c r="C207" s="2">
        <v>0</v>
      </c>
      <c r="D207" s="2">
        <v>3784091.75</v>
      </c>
    </row>
    <row r="208" spans="1:4" x14ac:dyDescent="0.25">
      <c r="A208" s="7"/>
      <c r="B208" s="7"/>
      <c r="C208" s="7"/>
      <c r="D208" s="7"/>
    </row>
    <row r="209" spans="1:4" x14ac:dyDescent="0.25">
      <c r="A209" s="8"/>
      <c r="B209" s="8"/>
      <c r="C209" s="8"/>
      <c r="D209" s="8"/>
    </row>
    <row r="210" spans="1:4" ht="33.75" x14ac:dyDescent="0.25">
      <c r="A210" s="9" t="s">
        <v>163</v>
      </c>
      <c r="B210" s="10" t="s">
        <v>164</v>
      </c>
      <c r="C210" s="1">
        <v>0</v>
      </c>
      <c r="D210" s="1">
        <v>18500000</v>
      </c>
    </row>
    <row r="211" spans="1:4" x14ac:dyDescent="0.25">
      <c r="A211" s="11"/>
      <c r="B211" s="11"/>
      <c r="C211" s="11"/>
      <c r="D211" s="11"/>
    </row>
    <row r="212" spans="1:4" x14ac:dyDescent="0.25">
      <c r="A212" s="4"/>
      <c r="B212" s="4"/>
      <c r="C212" s="4"/>
      <c r="D212" s="4"/>
    </row>
    <row r="213" spans="1:4" ht="45" x14ac:dyDescent="0.25">
      <c r="A213" s="5" t="s">
        <v>165</v>
      </c>
      <c r="B213" s="6" t="s">
        <v>166</v>
      </c>
      <c r="C213" s="2">
        <v>0</v>
      </c>
      <c r="D213" s="2">
        <v>2076372.55</v>
      </c>
    </row>
    <row r="214" spans="1:4" x14ac:dyDescent="0.25">
      <c r="A214" s="7"/>
      <c r="B214" s="7"/>
      <c r="C214" s="7"/>
      <c r="D214" s="7"/>
    </row>
    <row r="215" spans="1:4" x14ac:dyDescent="0.25">
      <c r="A215" s="8"/>
      <c r="B215" s="8"/>
      <c r="C215" s="8"/>
      <c r="D215" s="8"/>
    </row>
    <row r="216" spans="1:4" ht="45" x14ac:dyDescent="0.25">
      <c r="A216" s="9" t="s">
        <v>167</v>
      </c>
      <c r="B216" s="10" t="s">
        <v>168</v>
      </c>
      <c r="C216" s="1">
        <v>0</v>
      </c>
      <c r="D216" s="1">
        <v>5515126.2300000004</v>
      </c>
    </row>
    <row r="217" spans="1:4" x14ac:dyDescent="0.25">
      <c r="A217" s="11"/>
      <c r="B217" s="11"/>
      <c r="C217" s="11"/>
      <c r="D217" s="11"/>
    </row>
    <row r="218" spans="1:4" x14ac:dyDescent="0.25">
      <c r="A218" s="4"/>
      <c r="B218" s="4"/>
      <c r="C218" s="4"/>
      <c r="D218" s="4"/>
    </row>
    <row r="219" spans="1:4" ht="45" x14ac:dyDescent="0.25">
      <c r="A219" s="5" t="s">
        <v>169</v>
      </c>
      <c r="B219" s="6" t="s">
        <v>170</v>
      </c>
      <c r="C219" s="2">
        <v>0</v>
      </c>
      <c r="D219" s="2">
        <v>5582787.7800000003</v>
      </c>
    </row>
    <row r="220" spans="1:4" x14ac:dyDescent="0.25">
      <c r="A220" s="7"/>
      <c r="B220" s="7"/>
      <c r="C220" s="7"/>
      <c r="D220" s="7"/>
    </row>
    <row r="221" spans="1:4" x14ac:dyDescent="0.25">
      <c r="A221" s="8"/>
      <c r="B221" s="8"/>
      <c r="C221" s="8"/>
      <c r="D221" s="8"/>
    </row>
    <row r="222" spans="1:4" ht="56.25" x14ac:dyDescent="0.25">
      <c r="A222" s="9" t="s">
        <v>171</v>
      </c>
      <c r="B222" s="10" t="s">
        <v>172</v>
      </c>
      <c r="C222" s="1">
        <v>0</v>
      </c>
      <c r="D222" s="1">
        <v>9730904.5999999996</v>
      </c>
    </row>
    <row r="223" spans="1:4" x14ac:dyDescent="0.25">
      <c r="A223" s="11"/>
      <c r="B223" s="11"/>
      <c r="C223" s="11"/>
      <c r="D223" s="11"/>
    </row>
    <row r="224" spans="1:4" x14ac:dyDescent="0.25">
      <c r="A224" s="4"/>
      <c r="B224" s="4"/>
      <c r="C224" s="4"/>
      <c r="D224" s="4"/>
    </row>
    <row r="225" spans="1:4" ht="67.5" x14ac:dyDescent="0.25">
      <c r="A225" s="5" t="s">
        <v>173</v>
      </c>
      <c r="B225" s="6" t="s">
        <v>174</v>
      </c>
      <c r="C225" s="2">
        <v>0</v>
      </c>
      <c r="D225" s="2">
        <v>4960679.96</v>
      </c>
    </row>
    <row r="226" spans="1:4" x14ac:dyDescent="0.25">
      <c r="A226" s="7"/>
      <c r="B226" s="7"/>
      <c r="C226" s="7"/>
      <c r="D226" s="7"/>
    </row>
    <row r="227" spans="1:4" x14ac:dyDescent="0.25">
      <c r="A227" s="8"/>
      <c r="B227" s="8"/>
      <c r="C227" s="8"/>
      <c r="D227" s="8"/>
    </row>
    <row r="228" spans="1:4" ht="67.5" x14ac:dyDescent="0.25">
      <c r="A228" s="9" t="s">
        <v>175</v>
      </c>
      <c r="B228" s="10" t="s">
        <v>176</v>
      </c>
      <c r="C228" s="1">
        <v>0</v>
      </c>
      <c r="D228" s="1">
        <v>22888437.300000001</v>
      </c>
    </row>
    <row r="229" spans="1:4" x14ac:dyDescent="0.25">
      <c r="A229" s="11"/>
      <c r="B229" s="11"/>
      <c r="C229" s="11"/>
      <c r="D229" s="11"/>
    </row>
    <row r="230" spans="1:4" x14ac:dyDescent="0.25">
      <c r="A230" s="4"/>
      <c r="B230" s="4"/>
      <c r="C230" s="4"/>
      <c r="D230" s="4"/>
    </row>
    <row r="231" spans="1:4" ht="56.25" x14ac:dyDescent="0.25">
      <c r="A231" s="5" t="s">
        <v>177</v>
      </c>
      <c r="B231" s="6" t="s">
        <v>178</v>
      </c>
      <c r="C231" s="2">
        <v>0</v>
      </c>
      <c r="D231" s="2">
        <v>847087.63</v>
      </c>
    </row>
    <row r="232" spans="1:4" x14ac:dyDescent="0.25">
      <c r="A232" s="7"/>
      <c r="B232" s="7"/>
      <c r="C232" s="7"/>
      <c r="D232" s="7"/>
    </row>
    <row r="233" spans="1:4" x14ac:dyDescent="0.25">
      <c r="A233" s="8"/>
      <c r="B233" s="8"/>
      <c r="C233" s="8"/>
      <c r="D233" s="8"/>
    </row>
    <row r="234" spans="1:4" ht="67.5" x14ac:dyDescent="0.25">
      <c r="A234" s="9" t="s">
        <v>179</v>
      </c>
      <c r="B234" s="10" t="s">
        <v>180</v>
      </c>
      <c r="C234" s="1">
        <v>0</v>
      </c>
      <c r="D234" s="1">
        <v>2987518.24</v>
      </c>
    </row>
    <row r="235" spans="1:4" x14ac:dyDescent="0.25">
      <c r="A235" s="11"/>
      <c r="B235" s="11"/>
      <c r="C235" s="11"/>
      <c r="D235" s="11"/>
    </row>
    <row r="236" spans="1:4" x14ac:dyDescent="0.25">
      <c r="A236" s="4"/>
      <c r="B236" s="4"/>
      <c r="C236" s="4"/>
      <c r="D236" s="4"/>
    </row>
    <row r="237" spans="1:4" ht="56.25" x14ac:dyDescent="0.25">
      <c r="A237" s="5" t="s">
        <v>181</v>
      </c>
      <c r="B237" s="6" t="s">
        <v>182</v>
      </c>
      <c r="C237" s="2">
        <v>0</v>
      </c>
      <c r="D237" s="2">
        <v>768952.28</v>
      </c>
    </row>
    <row r="238" spans="1:4" x14ac:dyDescent="0.25">
      <c r="A238" s="7"/>
      <c r="B238" s="7"/>
      <c r="C238" s="7"/>
      <c r="D238" s="7"/>
    </row>
    <row r="239" spans="1:4" x14ac:dyDescent="0.25">
      <c r="A239" s="8"/>
      <c r="B239" s="8"/>
      <c r="C239" s="8"/>
      <c r="D239" s="8"/>
    </row>
    <row r="240" spans="1:4" ht="45" x14ac:dyDescent="0.25">
      <c r="A240" s="9" t="s">
        <v>183</v>
      </c>
      <c r="B240" s="10" t="s">
        <v>184</v>
      </c>
      <c r="C240" s="1">
        <v>0</v>
      </c>
      <c r="D240" s="1">
        <v>1371505.8</v>
      </c>
    </row>
    <row r="241" spans="1:4" x14ac:dyDescent="0.25">
      <c r="A241" s="11"/>
      <c r="B241" s="11"/>
      <c r="C241" s="11"/>
      <c r="D241" s="11"/>
    </row>
    <row r="242" spans="1:4" x14ac:dyDescent="0.25">
      <c r="A242" s="4"/>
      <c r="B242" s="4"/>
      <c r="C242" s="4"/>
      <c r="D242" s="4"/>
    </row>
    <row r="243" spans="1:4" ht="56.25" x14ac:dyDescent="0.25">
      <c r="A243" s="5" t="s">
        <v>6</v>
      </c>
      <c r="B243" s="6" t="s">
        <v>17</v>
      </c>
      <c r="C243" s="2">
        <v>0</v>
      </c>
      <c r="D243" s="2">
        <v>2558906.48</v>
      </c>
    </row>
    <row r="244" spans="1:4" x14ac:dyDescent="0.25">
      <c r="A244" s="7"/>
      <c r="B244" s="7"/>
      <c r="C244" s="7"/>
      <c r="D244" s="7"/>
    </row>
    <row r="245" spans="1:4" x14ac:dyDescent="0.25">
      <c r="A245" s="8"/>
      <c r="B245" s="8"/>
      <c r="C245" s="8"/>
      <c r="D245" s="8"/>
    </row>
    <row r="246" spans="1:4" ht="56.25" x14ac:dyDescent="0.25">
      <c r="A246" s="9" t="s">
        <v>185</v>
      </c>
      <c r="B246" s="10" t="s">
        <v>186</v>
      </c>
      <c r="C246" s="1">
        <v>0</v>
      </c>
      <c r="D246" s="1">
        <v>1329021.1499999999</v>
      </c>
    </row>
    <row r="247" spans="1:4" x14ac:dyDescent="0.25">
      <c r="A247" s="11"/>
      <c r="B247" s="11"/>
      <c r="C247" s="11"/>
      <c r="D247" s="11"/>
    </row>
    <row r="248" spans="1:4" x14ac:dyDescent="0.25">
      <c r="A248" s="4"/>
      <c r="B248" s="4"/>
      <c r="C248" s="4"/>
      <c r="D248" s="4"/>
    </row>
    <row r="249" spans="1:4" ht="56.25" x14ac:dyDescent="0.25">
      <c r="A249" s="5" t="s">
        <v>187</v>
      </c>
      <c r="B249" s="6" t="s">
        <v>188</v>
      </c>
      <c r="C249" s="2">
        <v>0</v>
      </c>
      <c r="D249" s="2">
        <v>32195587.93</v>
      </c>
    </row>
    <row r="250" spans="1:4" x14ac:dyDescent="0.25">
      <c r="A250" s="7"/>
      <c r="B250" s="7"/>
      <c r="C250" s="7"/>
      <c r="D250" s="7"/>
    </row>
    <row r="251" spans="1:4" x14ac:dyDescent="0.25">
      <c r="A251" s="8"/>
      <c r="B251" s="8"/>
      <c r="C251" s="8"/>
      <c r="D251" s="8"/>
    </row>
    <row r="252" spans="1:4" ht="56.25" x14ac:dyDescent="0.25">
      <c r="A252" s="9" t="s">
        <v>189</v>
      </c>
      <c r="B252" s="10" t="s">
        <v>190</v>
      </c>
      <c r="C252" s="1">
        <v>0</v>
      </c>
      <c r="D252" s="1">
        <v>2759019.32</v>
      </c>
    </row>
    <row r="253" spans="1:4" x14ac:dyDescent="0.25">
      <c r="A253" s="11"/>
      <c r="B253" s="11"/>
      <c r="C253" s="11"/>
      <c r="D253" s="11"/>
    </row>
    <row r="254" spans="1:4" x14ac:dyDescent="0.25">
      <c r="A254" s="4"/>
      <c r="B254" s="4"/>
      <c r="C254" s="4"/>
      <c r="D254" s="4"/>
    </row>
    <row r="255" spans="1:4" ht="56.25" x14ac:dyDescent="0.25">
      <c r="A255" s="5" t="s">
        <v>191</v>
      </c>
      <c r="B255" s="6" t="s">
        <v>192</v>
      </c>
      <c r="C255" s="2">
        <v>0</v>
      </c>
      <c r="D255" s="2">
        <v>6277413.5499999998</v>
      </c>
    </row>
    <row r="256" spans="1:4" x14ac:dyDescent="0.25">
      <c r="A256" s="7"/>
      <c r="B256" s="7"/>
      <c r="C256" s="7"/>
      <c r="D256" s="7"/>
    </row>
    <row r="257" spans="1:4" x14ac:dyDescent="0.25">
      <c r="A257" s="8"/>
      <c r="B257" s="8"/>
      <c r="C257" s="8"/>
      <c r="D257" s="8"/>
    </row>
    <row r="258" spans="1:4" ht="78.75" x14ac:dyDescent="0.25">
      <c r="A258" s="9" t="s">
        <v>7</v>
      </c>
      <c r="B258" s="10" t="s">
        <v>18</v>
      </c>
      <c r="C258" s="1">
        <v>4268792.84</v>
      </c>
      <c r="D258" s="1">
        <v>4268792.84</v>
      </c>
    </row>
    <row r="259" spans="1:4" x14ac:dyDescent="0.25">
      <c r="A259" s="11"/>
      <c r="B259" s="11"/>
      <c r="C259" s="11"/>
      <c r="D259" s="11"/>
    </row>
    <row r="260" spans="1:4" x14ac:dyDescent="0.25">
      <c r="A260" s="4"/>
      <c r="B260" s="4"/>
      <c r="C260" s="4"/>
      <c r="D260" s="4"/>
    </row>
    <row r="261" spans="1:4" ht="78.75" x14ac:dyDescent="0.25">
      <c r="A261" s="5" t="s">
        <v>193</v>
      </c>
      <c r="B261" s="6" t="s">
        <v>194</v>
      </c>
      <c r="C261" s="2">
        <v>0</v>
      </c>
      <c r="D261" s="2">
        <v>19218262.5</v>
      </c>
    </row>
    <row r="262" spans="1:4" x14ac:dyDescent="0.25">
      <c r="A262" s="7"/>
      <c r="B262" s="7"/>
      <c r="C262" s="7"/>
      <c r="D262" s="7"/>
    </row>
    <row r="263" spans="1:4" x14ac:dyDescent="0.25">
      <c r="A263" s="8"/>
      <c r="B263" s="8"/>
      <c r="C263" s="8"/>
      <c r="D263" s="8"/>
    </row>
    <row r="264" spans="1:4" ht="56.25" x14ac:dyDescent="0.25">
      <c r="A264" s="9" t="s">
        <v>195</v>
      </c>
      <c r="B264" s="10" t="s">
        <v>196</v>
      </c>
      <c r="C264" s="1">
        <v>0</v>
      </c>
      <c r="D264" s="1">
        <v>5523599.8700000001</v>
      </c>
    </row>
    <row r="265" spans="1:4" x14ac:dyDescent="0.25">
      <c r="A265" s="11"/>
      <c r="B265" s="11"/>
      <c r="C265" s="11"/>
      <c r="D265" s="11"/>
    </row>
    <row r="266" spans="1:4" x14ac:dyDescent="0.25">
      <c r="A266" s="4"/>
      <c r="B266" s="4"/>
      <c r="C266" s="4"/>
      <c r="D266" s="4"/>
    </row>
    <row r="267" spans="1:4" ht="67.5" x14ac:dyDescent="0.25">
      <c r="A267" s="5" t="s">
        <v>197</v>
      </c>
      <c r="B267" s="6" t="s">
        <v>198</v>
      </c>
      <c r="C267" s="2">
        <v>0</v>
      </c>
      <c r="D267" s="2">
        <v>1556432.46</v>
      </c>
    </row>
    <row r="268" spans="1:4" x14ac:dyDescent="0.25">
      <c r="A268" s="7"/>
      <c r="B268" s="7"/>
      <c r="C268" s="7"/>
      <c r="D268" s="7"/>
    </row>
    <row r="269" spans="1:4" x14ac:dyDescent="0.25">
      <c r="A269" s="8"/>
      <c r="B269" s="8"/>
      <c r="C269" s="8"/>
      <c r="D269" s="8"/>
    </row>
    <row r="270" spans="1:4" ht="56.25" x14ac:dyDescent="0.25">
      <c r="A270" s="9" t="s">
        <v>8</v>
      </c>
      <c r="B270" s="10" t="s">
        <v>19</v>
      </c>
      <c r="C270" s="1">
        <v>2361359.7400000002</v>
      </c>
      <c r="D270" s="1">
        <v>2361359.7400000002</v>
      </c>
    </row>
    <row r="271" spans="1:4" x14ac:dyDescent="0.25">
      <c r="A271" s="11"/>
      <c r="B271" s="11"/>
      <c r="C271" s="11"/>
      <c r="D271" s="11"/>
    </row>
    <row r="272" spans="1:4" x14ac:dyDescent="0.25">
      <c r="A272" s="4"/>
      <c r="B272" s="4"/>
      <c r="C272" s="4"/>
      <c r="D272" s="4"/>
    </row>
    <row r="273" spans="1:4" ht="56.25" x14ac:dyDescent="0.25">
      <c r="A273" s="5" t="s">
        <v>199</v>
      </c>
      <c r="B273" s="6" t="s">
        <v>200</v>
      </c>
      <c r="C273" s="2">
        <v>0</v>
      </c>
      <c r="D273" s="2">
        <v>35327981.159999996</v>
      </c>
    </row>
    <row r="274" spans="1:4" x14ac:dyDescent="0.25">
      <c r="A274" s="7"/>
      <c r="B274" s="7"/>
      <c r="C274" s="7"/>
      <c r="D274" s="7"/>
    </row>
    <row r="275" spans="1:4" x14ac:dyDescent="0.25">
      <c r="A275" s="8"/>
      <c r="B275" s="8"/>
      <c r="C275" s="8"/>
      <c r="D275" s="8"/>
    </row>
    <row r="276" spans="1:4" ht="45" x14ac:dyDescent="0.25">
      <c r="A276" s="9" t="s">
        <v>201</v>
      </c>
      <c r="B276" s="10" t="s">
        <v>202</v>
      </c>
      <c r="C276" s="1">
        <v>0</v>
      </c>
      <c r="D276" s="1">
        <v>27083573.57</v>
      </c>
    </row>
    <row r="277" spans="1:4" x14ac:dyDescent="0.25">
      <c r="A277" s="11"/>
      <c r="B277" s="11"/>
      <c r="C277" s="11"/>
      <c r="D277" s="11"/>
    </row>
    <row r="278" spans="1:4" x14ac:dyDescent="0.25">
      <c r="A278" s="4"/>
      <c r="B278" s="4"/>
      <c r="C278" s="4"/>
      <c r="D278" s="4"/>
    </row>
    <row r="279" spans="1:4" ht="56.25" x14ac:dyDescent="0.25">
      <c r="A279" s="5" t="s">
        <v>203</v>
      </c>
      <c r="B279" s="6" t="s">
        <v>204</v>
      </c>
      <c r="C279" s="2">
        <v>0</v>
      </c>
      <c r="D279" s="2">
        <v>1004599.27</v>
      </c>
    </row>
    <row r="280" spans="1:4" x14ac:dyDescent="0.25">
      <c r="A280" s="7"/>
      <c r="B280" s="7"/>
      <c r="C280" s="7"/>
      <c r="D280" s="7"/>
    </row>
    <row r="281" spans="1:4" x14ac:dyDescent="0.25">
      <c r="A281" s="8"/>
      <c r="B281" s="8"/>
      <c r="C281" s="8"/>
      <c r="D281" s="8"/>
    </row>
    <row r="282" spans="1:4" ht="56.25" x14ac:dyDescent="0.25">
      <c r="A282" s="9" t="s">
        <v>205</v>
      </c>
      <c r="B282" s="10" t="s">
        <v>206</v>
      </c>
      <c r="C282" s="1">
        <v>0</v>
      </c>
      <c r="D282" s="1">
        <v>1626262.86</v>
      </c>
    </row>
    <row r="283" spans="1:4" x14ac:dyDescent="0.25">
      <c r="A283" s="11"/>
      <c r="B283" s="11"/>
      <c r="C283" s="11"/>
      <c r="D283" s="11"/>
    </row>
    <row r="284" spans="1:4" x14ac:dyDescent="0.25">
      <c r="A284" s="4"/>
      <c r="B284" s="4"/>
      <c r="C284" s="4"/>
      <c r="D284" s="4"/>
    </row>
    <row r="285" spans="1:4" ht="67.5" x14ac:dyDescent="0.25">
      <c r="A285" s="5" t="s">
        <v>207</v>
      </c>
      <c r="B285" s="6" t="s">
        <v>208</v>
      </c>
      <c r="C285" s="2">
        <v>0</v>
      </c>
      <c r="D285" s="2">
        <v>777981.56</v>
      </c>
    </row>
    <row r="286" spans="1:4" x14ac:dyDescent="0.25">
      <c r="A286" s="7"/>
      <c r="B286" s="7"/>
      <c r="C286" s="7"/>
      <c r="D286" s="7"/>
    </row>
    <row r="287" spans="1:4" x14ac:dyDescent="0.25">
      <c r="A287" s="8"/>
      <c r="B287" s="8"/>
      <c r="C287" s="8"/>
      <c r="D287" s="8"/>
    </row>
    <row r="288" spans="1:4" ht="67.5" x14ac:dyDescent="0.25">
      <c r="A288" s="9" t="s">
        <v>209</v>
      </c>
      <c r="B288" s="10" t="s">
        <v>210</v>
      </c>
      <c r="C288" s="1">
        <v>0</v>
      </c>
      <c r="D288" s="1">
        <v>82174.710000000006</v>
      </c>
    </row>
    <row r="289" spans="1:4" x14ac:dyDescent="0.25">
      <c r="A289" s="11"/>
      <c r="B289" s="11"/>
      <c r="C289" s="11"/>
      <c r="D289" s="11"/>
    </row>
    <row r="290" spans="1:4" x14ac:dyDescent="0.25">
      <c r="A290" s="4"/>
      <c r="B290" s="4"/>
      <c r="C290" s="4"/>
      <c r="D290" s="4"/>
    </row>
    <row r="291" spans="1:4" ht="56.25" x14ac:dyDescent="0.25">
      <c r="A291" s="5" t="s">
        <v>9</v>
      </c>
      <c r="B291" s="6" t="s">
        <v>20</v>
      </c>
      <c r="C291" s="2">
        <v>17728563.670000002</v>
      </c>
      <c r="D291" s="2">
        <v>17728563.670000002</v>
      </c>
    </row>
    <row r="292" spans="1:4" x14ac:dyDescent="0.25">
      <c r="A292" s="7"/>
      <c r="B292" s="7"/>
      <c r="C292" s="7"/>
      <c r="D292" s="7"/>
    </row>
    <row r="293" spans="1:4" x14ac:dyDescent="0.25">
      <c r="A293" s="8"/>
      <c r="B293" s="8"/>
      <c r="C293" s="8"/>
      <c r="D293" s="8"/>
    </row>
    <row r="294" spans="1:4" ht="33.75" x14ac:dyDescent="0.25">
      <c r="A294" s="9" t="s">
        <v>211</v>
      </c>
      <c r="B294" s="10" t="s">
        <v>21</v>
      </c>
      <c r="C294" s="1">
        <v>20288014.260000002</v>
      </c>
      <c r="D294" s="1">
        <v>256034739.93000001</v>
      </c>
    </row>
    <row r="295" spans="1:4" x14ac:dyDescent="0.25">
      <c r="A295" s="11"/>
      <c r="B295" s="11"/>
      <c r="C295" s="11"/>
      <c r="D295" s="11"/>
    </row>
    <row r="296" spans="1:4" x14ac:dyDescent="0.25">
      <c r="A296" s="4"/>
      <c r="B296" s="4"/>
      <c r="C296" s="4"/>
      <c r="D296" s="4"/>
    </row>
    <row r="297" spans="1:4" ht="33.75" x14ac:dyDescent="0.25">
      <c r="A297" s="5" t="s">
        <v>212</v>
      </c>
      <c r="B297" s="6" t="s">
        <v>213</v>
      </c>
      <c r="C297" s="2">
        <v>40912430.469999999</v>
      </c>
      <c r="D297" s="2">
        <v>251070507.96000001</v>
      </c>
    </row>
    <row r="298" spans="1:4" x14ac:dyDescent="0.25">
      <c r="A298" s="7"/>
      <c r="B298" s="7"/>
      <c r="C298" s="7"/>
      <c r="D298" s="7"/>
    </row>
    <row r="299" spans="1:4" x14ac:dyDescent="0.25">
      <c r="A299" s="8"/>
      <c r="B299" s="8"/>
      <c r="C299" s="8"/>
      <c r="D299" s="8"/>
    </row>
    <row r="300" spans="1:4" ht="56.25" x14ac:dyDescent="0.25">
      <c r="A300" s="9" t="s">
        <v>214</v>
      </c>
      <c r="B300" s="10" t="s">
        <v>215</v>
      </c>
      <c r="C300" s="1">
        <v>0</v>
      </c>
      <c r="D300" s="1">
        <v>17792940.640000001</v>
      </c>
    </row>
    <row r="301" spans="1:4" x14ac:dyDescent="0.25">
      <c r="A301" s="11"/>
      <c r="B301" s="11"/>
      <c r="C301" s="11"/>
      <c r="D301" s="11"/>
    </row>
    <row r="302" spans="1:4" x14ac:dyDescent="0.25">
      <c r="A302" s="4"/>
      <c r="B302" s="4"/>
      <c r="C302" s="4"/>
      <c r="D302" s="4"/>
    </row>
    <row r="303" spans="1:4" ht="33.75" x14ac:dyDescent="0.25">
      <c r="A303" s="5" t="s">
        <v>216</v>
      </c>
      <c r="B303" s="6" t="s">
        <v>217</v>
      </c>
      <c r="C303" s="2">
        <v>0</v>
      </c>
      <c r="D303" s="2">
        <v>30032719.879999999</v>
      </c>
    </row>
    <row r="304" spans="1:4" x14ac:dyDescent="0.25">
      <c r="A304" s="7"/>
      <c r="B304" s="7"/>
      <c r="C304" s="7"/>
      <c r="D304" s="7"/>
    </row>
    <row r="305" spans="1:4" x14ac:dyDescent="0.25">
      <c r="A305" s="8"/>
      <c r="B305" s="8"/>
      <c r="C305" s="8"/>
      <c r="D305" s="8"/>
    </row>
    <row r="306" spans="1:4" ht="22.5" x14ac:dyDescent="0.25">
      <c r="A306" s="9" t="s">
        <v>218</v>
      </c>
      <c r="B306" s="10" t="s">
        <v>219</v>
      </c>
      <c r="C306" s="1">
        <v>0</v>
      </c>
      <c r="D306" s="1">
        <v>38850000</v>
      </c>
    </row>
    <row r="307" spans="1:4" x14ac:dyDescent="0.25">
      <c r="A307" s="11"/>
      <c r="B307" s="11"/>
      <c r="C307" s="11"/>
      <c r="D307" s="11"/>
    </row>
    <row r="308" spans="1:4" x14ac:dyDescent="0.25">
      <c r="A308" s="13"/>
      <c r="B308" s="13"/>
      <c r="C308" s="13"/>
      <c r="D308" s="13"/>
    </row>
    <row r="309" spans="1:4" x14ac:dyDescent="0.25">
      <c r="A309" s="14" t="s">
        <v>10</v>
      </c>
      <c r="B309" s="15" t="s">
        <v>22</v>
      </c>
      <c r="C309" s="16">
        <v>147529330.37</v>
      </c>
      <c r="D309" s="16">
        <v>1727267651.27</v>
      </c>
    </row>
    <row r="310" spans="1:4" x14ac:dyDescent="0.25">
      <c r="A310" s="17"/>
      <c r="B310" s="17"/>
      <c r="C310" s="17"/>
      <c r="D310" s="17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C7E10-6009-4828-B0F9-0C281F422743}">
  <dimension ref="A1:D316"/>
  <sheetViews>
    <sheetView topLeftCell="A63" workbookViewId="0">
      <selection sqref="A1:D1048576"/>
    </sheetView>
  </sheetViews>
  <sheetFormatPr defaultRowHeight="15" x14ac:dyDescent="0.25"/>
  <cols>
    <col min="1" max="1" width="11.42578125" customWidth="1"/>
    <col min="2" max="2" width="28.5703125" customWidth="1"/>
    <col min="3" max="4" width="14.28515625" customWidth="1"/>
  </cols>
  <sheetData>
    <row r="1" spans="1:4" x14ac:dyDescent="0.25">
      <c r="A1" s="37" t="s">
        <v>0</v>
      </c>
      <c r="B1" s="3" t="s">
        <v>11</v>
      </c>
      <c r="C1" s="3" t="s">
        <v>37</v>
      </c>
      <c r="D1" s="3" t="s">
        <v>238</v>
      </c>
    </row>
    <row r="2" spans="1:4" x14ac:dyDescent="0.25">
      <c r="A2" s="4"/>
      <c r="B2" s="4"/>
      <c r="C2" s="4"/>
      <c r="D2" s="4"/>
    </row>
    <row r="3" spans="1:4" ht="22.5" x14ac:dyDescent="0.25">
      <c r="A3" s="5" t="s">
        <v>38</v>
      </c>
      <c r="B3" s="6" t="s">
        <v>39</v>
      </c>
      <c r="C3" s="2">
        <v>0</v>
      </c>
      <c r="D3" s="2">
        <v>0</v>
      </c>
    </row>
    <row r="4" spans="1:4" x14ac:dyDescent="0.25">
      <c r="A4" s="7"/>
      <c r="B4" s="7"/>
      <c r="C4" s="7"/>
      <c r="D4" s="7"/>
    </row>
    <row r="5" spans="1:4" x14ac:dyDescent="0.25">
      <c r="A5" s="8"/>
      <c r="B5" s="8"/>
      <c r="C5" s="8"/>
      <c r="D5" s="8"/>
    </row>
    <row r="6" spans="1:4" ht="22.5" x14ac:dyDescent="0.25">
      <c r="A6" s="9" t="s">
        <v>40</v>
      </c>
      <c r="B6" s="10" t="s">
        <v>41</v>
      </c>
      <c r="C6" s="1">
        <v>0</v>
      </c>
      <c r="D6" s="1">
        <v>18037500</v>
      </c>
    </row>
    <row r="7" spans="1:4" x14ac:dyDescent="0.25">
      <c r="A7" s="11"/>
      <c r="B7" s="11"/>
      <c r="C7" s="11"/>
      <c r="D7" s="11"/>
    </row>
    <row r="8" spans="1:4" x14ac:dyDescent="0.25">
      <c r="A8" s="4"/>
      <c r="B8" s="4"/>
      <c r="C8" s="4"/>
      <c r="D8" s="4"/>
    </row>
    <row r="9" spans="1:4" ht="22.5" x14ac:dyDescent="0.25">
      <c r="A9" s="5" t="s">
        <v>42</v>
      </c>
      <c r="B9" s="6" t="s">
        <v>43</v>
      </c>
      <c r="C9" s="2">
        <v>0</v>
      </c>
      <c r="D9" s="2">
        <v>124875</v>
      </c>
    </row>
    <row r="10" spans="1:4" x14ac:dyDescent="0.25">
      <c r="A10" s="7"/>
      <c r="B10" s="7"/>
      <c r="C10" s="7"/>
      <c r="D10" s="7"/>
    </row>
    <row r="11" spans="1:4" x14ac:dyDescent="0.25">
      <c r="A11" s="8"/>
      <c r="B11" s="8"/>
      <c r="C11" s="8"/>
      <c r="D11" s="8"/>
    </row>
    <row r="12" spans="1:4" ht="22.5" x14ac:dyDescent="0.25">
      <c r="A12" s="9" t="s">
        <v>44</v>
      </c>
      <c r="B12" s="10" t="s">
        <v>45</v>
      </c>
      <c r="C12" s="1">
        <v>0</v>
      </c>
      <c r="D12" s="1">
        <v>541125</v>
      </c>
    </row>
    <row r="13" spans="1:4" x14ac:dyDescent="0.25">
      <c r="A13" s="11"/>
      <c r="B13" s="11"/>
      <c r="C13" s="11"/>
      <c r="D13" s="11"/>
    </row>
    <row r="14" spans="1:4" x14ac:dyDescent="0.25">
      <c r="A14" s="4"/>
      <c r="B14" s="4"/>
      <c r="C14" s="4"/>
      <c r="D14" s="4"/>
    </row>
    <row r="15" spans="1:4" ht="22.5" x14ac:dyDescent="0.25">
      <c r="A15" s="5" t="s">
        <v>241</v>
      </c>
      <c r="B15" s="6" t="s">
        <v>242</v>
      </c>
      <c r="C15" s="2">
        <v>11803000</v>
      </c>
      <c r="D15" s="2">
        <v>11803000</v>
      </c>
    </row>
    <row r="16" spans="1:4" x14ac:dyDescent="0.25">
      <c r="A16" s="7"/>
      <c r="B16" s="7"/>
      <c r="C16" s="7"/>
      <c r="D16" s="7"/>
    </row>
    <row r="17" spans="1:4" x14ac:dyDescent="0.25">
      <c r="A17" s="8"/>
      <c r="B17" s="8"/>
      <c r="C17" s="8"/>
      <c r="D17" s="8"/>
    </row>
    <row r="18" spans="1:4" x14ac:dyDescent="0.25">
      <c r="A18" s="9" t="s">
        <v>46</v>
      </c>
      <c r="B18" s="41"/>
      <c r="C18" s="1">
        <v>0</v>
      </c>
      <c r="D18" s="1">
        <v>0</v>
      </c>
    </row>
    <row r="19" spans="1:4" x14ac:dyDescent="0.25">
      <c r="A19" s="11"/>
      <c r="B19" s="11"/>
      <c r="C19" s="11"/>
      <c r="D19" s="11"/>
    </row>
    <row r="20" spans="1:4" x14ac:dyDescent="0.25">
      <c r="A20" s="4"/>
      <c r="B20" s="4"/>
      <c r="C20" s="4"/>
      <c r="D20" s="4"/>
    </row>
    <row r="21" spans="1:4" ht="22.5" x14ac:dyDescent="0.25">
      <c r="A21" s="5" t="s">
        <v>47</v>
      </c>
      <c r="B21" s="6" t="s">
        <v>48</v>
      </c>
      <c r="C21" s="2">
        <v>0</v>
      </c>
      <c r="D21" s="2">
        <v>274329.78000000003</v>
      </c>
    </row>
    <row r="22" spans="1:4" x14ac:dyDescent="0.25">
      <c r="A22" s="7"/>
      <c r="B22" s="7"/>
      <c r="C22" s="7"/>
      <c r="D22" s="7"/>
    </row>
    <row r="23" spans="1:4" x14ac:dyDescent="0.25">
      <c r="A23" s="8"/>
      <c r="B23" s="8"/>
      <c r="C23" s="8"/>
      <c r="D23" s="8"/>
    </row>
    <row r="24" spans="1:4" ht="22.5" x14ac:dyDescent="0.25">
      <c r="A24" s="9" t="s">
        <v>49</v>
      </c>
      <c r="B24" s="10" t="s">
        <v>50</v>
      </c>
      <c r="C24" s="1">
        <v>0</v>
      </c>
      <c r="D24" s="1">
        <v>7204125.5499999998</v>
      </c>
    </row>
    <row r="25" spans="1:4" x14ac:dyDescent="0.25">
      <c r="A25" s="11"/>
      <c r="B25" s="11"/>
      <c r="C25" s="11"/>
      <c r="D25" s="11"/>
    </row>
    <row r="26" spans="1:4" x14ac:dyDescent="0.25">
      <c r="A26" s="4"/>
      <c r="B26" s="4"/>
      <c r="C26" s="4"/>
      <c r="D26" s="4"/>
    </row>
    <row r="27" spans="1:4" ht="22.5" x14ac:dyDescent="0.25">
      <c r="A27" s="5" t="s">
        <v>51</v>
      </c>
      <c r="B27" s="6" t="s">
        <v>52</v>
      </c>
      <c r="C27" s="2">
        <v>0</v>
      </c>
      <c r="D27" s="2">
        <v>181803.4</v>
      </c>
    </row>
    <row r="28" spans="1:4" x14ac:dyDescent="0.25">
      <c r="A28" s="7"/>
      <c r="B28" s="7"/>
      <c r="C28" s="7"/>
      <c r="D28" s="7"/>
    </row>
    <row r="29" spans="1:4" x14ac:dyDescent="0.25">
      <c r="A29" s="8"/>
      <c r="B29" s="8"/>
      <c r="C29" s="8"/>
      <c r="D29" s="8"/>
    </row>
    <row r="30" spans="1:4" ht="22.5" x14ac:dyDescent="0.25">
      <c r="A30" s="9" t="s">
        <v>53</v>
      </c>
      <c r="B30" s="10" t="s">
        <v>54</v>
      </c>
      <c r="C30" s="1">
        <v>0</v>
      </c>
      <c r="D30" s="1">
        <v>0</v>
      </c>
    </row>
    <row r="31" spans="1:4" x14ac:dyDescent="0.25">
      <c r="A31" s="11"/>
      <c r="B31" s="11"/>
      <c r="C31" s="11"/>
      <c r="D31" s="11"/>
    </row>
    <row r="32" spans="1:4" x14ac:dyDescent="0.25">
      <c r="A32" s="4"/>
      <c r="B32" s="4"/>
      <c r="C32" s="4"/>
      <c r="D32" s="4"/>
    </row>
    <row r="33" spans="1:4" x14ac:dyDescent="0.25">
      <c r="A33" s="5" t="s">
        <v>55</v>
      </c>
      <c r="B33" s="6" t="s">
        <v>56</v>
      </c>
      <c r="C33" s="2">
        <v>0</v>
      </c>
      <c r="D33" s="2">
        <v>31991657.359999999</v>
      </c>
    </row>
    <row r="34" spans="1:4" x14ac:dyDescent="0.25">
      <c r="A34" s="7"/>
      <c r="B34" s="7"/>
      <c r="C34" s="7"/>
      <c r="D34" s="7"/>
    </row>
    <row r="35" spans="1:4" x14ac:dyDescent="0.25">
      <c r="A35" s="8"/>
      <c r="B35" s="8"/>
      <c r="C35" s="8"/>
      <c r="D35" s="8"/>
    </row>
    <row r="36" spans="1:4" ht="22.5" x14ac:dyDescent="0.25">
      <c r="A36" s="9" t="s">
        <v>57</v>
      </c>
      <c r="B36" s="10" t="s">
        <v>58</v>
      </c>
      <c r="C36" s="1">
        <v>0</v>
      </c>
      <c r="D36" s="1">
        <v>25562603.559999999</v>
      </c>
    </row>
    <row r="37" spans="1:4" x14ac:dyDescent="0.25">
      <c r="A37" s="11"/>
      <c r="B37" s="11"/>
      <c r="C37" s="11"/>
      <c r="D37" s="11"/>
    </row>
    <row r="38" spans="1:4" x14ac:dyDescent="0.25">
      <c r="A38" s="4"/>
      <c r="B38" s="4"/>
      <c r="C38" s="4"/>
      <c r="D38" s="4"/>
    </row>
    <row r="39" spans="1:4" ht="22.5" x14ac:dyDescent="0.25">
      <c r="A39" s="5" t="s">
        <v>59</v>
      </c>
      <c r="B39" s="6" t="s">
        <v>60</v>
      </c>
      <c r="C39" s="2">
        <v>0</v>
      </c>
      <c r="D39" s="2">
        <v>14714281.83</v>
      </c>
    </row>
    <row r="40" spans="1:4" x14ac:dyDescent="0.25">
      <c r="A40" s="7"/>
      <c r="B40" s="7"/>
      <c r="C40" s="7"/>
      <c r="D40" s="7"/>
    </row>
    <row r="41" spans="1:4" x14ac:dyDescent="0.25">
      <c r="A41" s="8"/>
      <c r="B41" s="8"/>
      <c r="C41" s="8"/>
      <c r="D41" s="8"/>
    </row>
    <row r="42" spans="1:4" ht="22.5" x14ac:dyDescent="0.25">
      <c r="A42" s="9" t="s">
        <v>61</v>
      </c>
      <c r="B42" s="10" t="s">
        <v>62</v>
      </c>
      <c r="C42" s="1">
        <v>0</v>
      </c>
      <c r="D42" s="1">
        <v>61029.83</v>
      </c>
    </row>
    <row r="43" spans="1:4" x14ac:dyDescent="0.25">
      <c r="A43" s="11"/>
      <c r="B43" s="11"/>
      <c r="C43" s="11"/>
      <c r="D43" s="11"/>
    </row>
    <row r="44" spans="1:4" x14ac:dyDescent="0.25">
      <c r="A44" s="4"/>
      <c r="B44" s="4"/>
      <c r="C44" s="4"/>
      <c r="D44" s="4"/>
    </row>
    <row r="45" spans="1:4" ht="22.5" x14ac:dyDescent="0.25">
      <c r="A45" s="5" t="s">
        <v>63</v>
      </c>
      <c r="B45" s="6" t="s">
        <v>64</v>
      </c>
      <c r="C45" s="2">
        <v>0</v>
      </c>
      <c r="D45" s="2">
        <v>125157.64</v>
      </c>
    </row>
    <row r="46" spans="1:4" x14ac:dyDescent="0.25">
      <c r="A46" s="7"/>
      <c r="B46" s="7"/>
      <c r="C46" s="7"/>
      <c r="D46" s="7"/>
    </row>
    <row r="47" spans="1:4" x14ac:dyDescent="0.25">
      <c r="A47" s="8"/>
      <c r="B47" s="8"/>
      <c r="C47" s="8"/>
      <c r="D47" s="8"/>
    </row>
    <row r="48" spans="1:4" ht="22.5" x14ac:dyDescent="0.25">
      <c r="A48" s="9" t="s">
        <v>65</v>
      </c>
      <c r="B48" s="10" t="s">
        <v>66</v>
      </c>
      <c r="C48" s="1">
        <v>0</v>
      </c>
      <c r="D48" s="1">
        <v>118376.46</v>
      </c>
    </row>
    <row r="49" spans="1:4" x14ac:dyDescent="0.25">
      <c r="A49" s="11"/>
      <c r="B49" s="11"/>
      <c r="C49" s="11"/>
      <c r="D49" s="11"/>
    </row>
    <row r="50" spans="1:4" x14ac:dyDescent="0.25">
      <c r="A50" s="4"/>
      <c r="B50" s="4"/>
      <c r="C50" s="4"/>
      <c r="D50" s="4"/>
    </row>
    <row r="51" spans="1:4" ht="22.5" x14ac:dyDescent="0.25">
      <c r="A51" s="5" t="s">
        <v>67</v>
      </c>
      <c r="B51" s="6" t="s">
        <v>68</v>
      </c>
      <c r="C51" s="2">
        <v>0</v>
      </c>
      <c r="D51" s="2">
        <v>282200.14</v>
      </c>
    </row>
    <row r="52" spans="1:4" x14ac:dyDescent="0.25">
      <c r="A52" s="7"/>
      <c r="B52" s="7"/>
      <c r="C52" s="7"/>
      <c r="D52" s="7"/>
    </row>
    <row r="53" spans="1:4" x14ac:dyDescent="0.25">
      <c r="A53" s="8"/>
      <c r="B53" s="8"/>
      <c r="C53" s="8"/>
      <c r="D53" s="8"/>
    </row>
    <row r="54" spans="1:4" ht="22.5" x14ac:dyDescent="0.25">
      <c r="A54" s="9" t="s">
        <v>69</v>
      </c>
      <c r="B54" s="10" t="s">
        <v>70</v>
      </c>
      <c r="C54" s="1">
        <v>71577.06</v>
      </c>
      <c r="D54" s="1">
        <v>71577.06</v>
      </c>
    </row>
    <row r="55" spans="1:4" x14ac:dyDescent="0.25">
      <c r="A55" s="11"/>
      <c r="B55" s="11"/>
      <c r="C55" s="11"/>
      <c r="D55" s="11"/>
    </row>
    <row r="56" spans="1:4" x14ac:dyDescent="0.25">
      <c r="A56" s="4"/>
      <c r="B56" s="4"/>
      <c r="C56" s="4"/>
      <c r="D56" s="4"/>
    </row>
    <row r="57" spans="1:4" ht="33.75" x14ac:dyDescent="0.25">
      <c r="A57" s="5" t="s">
        <v>71</v>
      </c>
      <c r="B57" s="6" t="s">
        <v>72</v>
      </c>
      <c r="C57" s="2">
        <v>71577.06</v>
      </c>
      <c r="D57" s="2">
        <v>71577.06</v>
      </c>
    </row>
    <row r="58" spans="1:4" x14ac:dyDescent="0.25">
      <c r="A58" s="7"/>
      <c r="B58" s="7"/>
      <c r="C58" s="7"/>
      <c r="D58" s="7"/>
    </row>
    <row r="59" spans="1:4" x14ac:dyDescent="0.25">
      <c r="A59" s="8"/>
      <c r="B59" s="8"/>
      <c r="C59" s="8"/>
      <c r="D59" s="8"/>
    </row>
    <row r="60" spans="1:4" ht="22.5" x14ac:dyDescent="0.25">
      <c r="A60" s="9" t="s">
        <v>73</v>
      </c>
      <c r="B60" s="10" t="s">
        <v>74</v>
      </c>
      <c r="C60" s="1">
        <v>71577.06</v>
      </c>
      <c r="D60" s="1">
        <v>71577.06</v>
      </c>
    </row>
    <row r="61" spans="1:4" x14ac:dyDescent="0.25">
      <c r="A61" s="11"/>
      <c r="B61" s="11"/>
      <c r="C61" s="11"/>
      <c r="D61" s="11"/>
    </row>
    <row r="62" spans="1:4" x14ac:dyDescent="0.25">
      <c r="A62" s="4"/>
      <c r="B62" s="4"/>
      <c r="C62" s="4"/>
      <c r="D62" s="4"/>
    </row>
    <row r="63" spans="1:4" x14ac:dyDescent="0.25">
      <c r="A63" s="5" t="s">
        <v>75</v>
      </c>
      <c r="B63" s="6" t="s">
        <v>76</v>
      </c>
      <c r="C63" s="2">
        <v>0</v>
      </c>
      <c r="D63" s="2">
        <v>29179.63</v>
      </c>
    </row>
    <row r="64" spans="1:4" x14ac:dyDescent="0.25">
      <c r="A64" s="7"/>
      <c r="B64" s="7"/>
      <c r="C64" s="7"/>
      <c r="D64" s="7"/>
    </row>
    <row r="65" spans="1:4" x14ac:dyDescent="0.25">
      <c r="A65" s="8"/>
      <c r="B65" s="8"/>
      <c r="C65" s="8"/>
      <c r="D65" s="8"/>
    </row>
    <row r="66" spans="1:4" ht="22.5" x14ac:dyDescent="0.25">
      <c r="A66" s="9" t="s">
        <v>77</v>
      </c>
      <c r="B66" s="10" t="s">
        <v>78</v>
      </c>
      <c r="C66" s="1">
        <v>0</v>
      </c>
      <c r="D66" s="1">
        <v>35455175.579999998</v>
      </c>
    </row>
    <row r="67" spans="1:4" x14ac:dyDescent="0.25">
      <c r="A67" s="11"/>
      <c r="B67" s="11"/>
      <c r="C67" s="11"/>
      <c r="D67" s="11"/>
    </row>
    <row r="68" spans="1:4" x14ac:dyDescent="0.25">
      <c r="A68" s="4"/>
      <c r="B68" s="4"/>
      <c r="C68" s="4"/>
      <c r="D68" s="4"/>
    </row>
    <row r="69" spans="1:4" ht="22.5" x14ac:dyDescent="0.25">
      <c r="A69" s="5" t="s">
        <v>79</v>
      </c>
      <c r="B69" s="6" t="s">
        <v>80</v>
      </c>
      <c r="C69" s="2">
        <v>0</v>
      </c>
      <c r="D69" s="2">
        <v>5751521.5099999998</v>
      </c>
    </row>
    <row r="70" spans="1:4" x14ac:dyDescent="0.25">
      <c r="A70" s="7"/>
      <c r="B70" s="7"/>
      <c r="C70" s="7"/>
      <c r="D70" s="7"/>
    </row>
    <row r="71" spans="1:4" x14ac:dyDescent="0.25">
      <c r="A71" s="8"/>
      <c r="B71" s="8"/>
      <c r="C71" s="8"/>
      <c r="D71" s="8"/>
    </row>
    <row r="72" spans="1:4" ht="22.5" x14ac:dyDescent="0.25">
      <c r="A72" s="9" t="s">
        <v>81</v>
      </c>
      <c r="B72" s="10" t="s">
        <v>82</v>
      </c>
      <c r="C72" s="1">
        <v>0</v>
      </c>
      <c r="D72" s="1">
        <v>0</v>
      </c>
    </row>
    <row r="73" spans="1:4" x14ac:dyDescent="0.25">
      <c r="A73" s="11"/>
      <c r="B73" s="11"/>
      <c r="C73" s="11"/>
      <c r="D73" s="11"/>
    </row>
    <row r="74" spans="1:4" x14ac:dyDescent="0.25">
      <c r="A74" s="4"/>
      <c r="B74" s="4"/>
      <c r="C74" s="4"/>
      <c r="D74" s="4"/>
    </row>
    <row r="75" spans="1:4" ht="22.5" x14ac:dyDescent="0.25">
      <c r="A75" s="5" t="s">
        <v>83</v>
      </c>
      <c r="B75" s="6" t="s">
        <v>84</v>
      </c>
      <c r="C75" s="2">
        <v>3635049.03</v>
      </c>
      <c r="D75" s="2">
        <v>18175245.129999999</v>
      </c>
    </row>
    <row r="76" spans="1:4" x14ac:dyDescent="0.25">
      <c r="A76" s="7"/>
      <c r="B76" s="7"/>
      <c r="C76" s="7"/>
      <c r="D76" s="7"/>
    </row>
    <row r="77" spans="1:4" x14ac:dyDescent="0.25">
      <c r="A77" s="8"/>
      <c r="B77" s="8"/>
      <c r="C77" s="8"/>
      <c r="D77" s="8"/>
    </row>
    <row r="78" spans="1:4" ht="22.5" x14ac:dyDescent="0.25">
      <c r="A78" s="9" t="s">
        <v>85</v>
      </c>
      <c r="B78" s="10" t="s">
        <v>86</v>
      </c>
      <c r="C78" s="1">
        <v>0</v>
      </c>
      <c r="D78" s="1">
        <v>179390.72</v>
      </c>
    </row>
    <row r="79" spans="1:4" x14ac:dyDescent="0.25">
      <c r="A79" s="11"/>
      <c r="B79" s="11"/>
      <c r="C79" s="11"/>
      <c r="D79" s="11"/>
    </row>
    <row r="80" spans="1:4" x14ac:dyDescent="0.25">
      <c r="A80" s="4"/>
      <c r="B80" s="4"/>
      <c r="C80" s="4"/>
      <c r="D80" s="4"/>
    </row>
    <row r="81" spans="1:4" ht="22.5" x14ac:dyDescent="0.25">
      <c r="A81" s="5" t="s">
        <v>87</v>
      </c>
      <c r="B81" s="6" t="s">
        <v>88</v>
      </c>
      <c r="C81" s="2">
        <v>3558319.2</v>
      </c>
      <c r="D81" s="2">
        <v>3558319.2</v>
      </c>
    </row>
    <row r="82" spans="1:4" x14ac:dyDescent="0.25">
      <c r="A82" s="7"/>
      <c r="B82" s="7"/>
      <c r="C82" s="7"/>
      <c r="D82" s="7"/>
    </row>
    <row r="83" spans="1:4" x14ac:dyDescent="0.25">
      <c r="A83" s="8"/>
      <c r="B83" s="8"/>
      <c r="C83" s="8"/>
      <c r="D83" s="8"/>
    </row>
    <row r="84" spans="1:4" ht="22.5" x14ac:dyDescent="0.25">
      <c r="A84" s="9" t="s">
        <v>89</v>
      </c>
      <c r="B84" s="10" t="s">
        <v>90</v>
      </c>
      <c r="C84" s="1">
        <v>3412259.4</v>
      </c>
      <c r="D84" s="1">
        <v>10236778.199999999</v>
      </c>
    </row>
    <row r="85" spans="1:4" x14ac:dyDescent="0.25">
      <c r="A85" s="11"/>
      <c r="B85" s="11"/>
      <c r="C85" s="11"/>
      <c r="D85" s="11"/>
    </row>
    <row r="86" spans="1:4" x14ac:dyDescent="0.25">
      <c r="A86" s="4"/>
      <c r="B86" s="4"/>
      <c r="C86" s="4"/>
      <c r="D86" s="4"/>
    </row>
    <row r="87" spans="1:4" ht="22.5" x14ac:dyDescent="0.25">
      <c r="A87" s="5" t="s">
        <v>91</v>
      </c>
      <c r="B87" s="6" t="s">
        <v>92</v>
      </c>
      <c r="C87" s="2">
        <v>13158250.710000001</v>
      </c>
      <c r="D87" s="2">
        <v>13158250.710000001</v>
      </c>
    </row>
    <row r="88" spans="1:4" x14ac:dyDescent="0.25">
      <c r="A88" s="7"/>
      <c r="B88" s="7"/>
      <c r="C88" s="7"/>
      <c r="D88" s="7"/>
    </row>
    <row r="89" spans="1:4" x14ac:dyDescent="0.25">
      <c r="A89" s="8"/>
      <c r="B89" s="8"/>
      <c r="C89" s="8"/>
      <c r="D89" s="8"/>
    </row>
    <row r="90" spans="1:4" ht="22.5" x14ac:dyDescent="0.25">
      <c r="A90" s="9" t="s">
        <v>93</v>
      </c>
      <c r="B90" s="10" t="s">
        <v>94</v>
      </c>
      <c r="C90" s="1">
        <v>0</v>
      </c>
      <c r="D90" s="1">
        <v>478335.63</v>
      </c>
    </row>
    <row r="91" spans="1:4" x14ac:dyDescent="0.25">
      <c r="A91" s="11"/>
      <c r="B91" s="11"/>
      <c r="C91" s="11"/>
      <c r="D91" s="11"/>
    </row>
    <row r="92" spans="1:4" x14ac:dyDescent="0.25">
      <c r="A92" s="4"/>
      <c r="B92" s="4"/>
      <c r="C92" s="4"/>
      <c r="D92" s="4"/>
    </row>
    <row r="93" spans="1:4" ht="22.5" x14ac:dyDescent="0.25">
      <c r="A93" s="5" t="s">
        <v>95</v>
      </c>
      <c r="B93" s="6" t="s">
        <v>96</v>
      </c>
      <c r="C93" s="2">
        <v>0</v>
      </c>
      <c r="D93" s="2">
        <v>1215867.69</v>
      </c>
    </row>
    <row r="94" spans="1:4" x14ac:dyDescent="0.25">
      <c r="A94" s="7"/>
      <c r="B94" s="7"/>
      <c r="C94" s="7"/>
      <c r="D94" s="7"/>
    </row>
    <row r="95" spans="1:4" x14ac:dyDescent="0.25">
      <c r="A95" s="8"/>
      <c r="B95" s="8"/>
      <c r="C95" s="8"/>
      <c r="D95" s="8"/>
    </row>
    <row r="96" spans="1:4" ht="22.5" x14ac:dyDescent="0.25">
      <c r="A96" s="9" t="s">
        <v>97</v>
      </c>
      <c r="B96" s="10" t="s">
        <v>98</v>
      </c>
      <c r="C96" s="1">
        <v>0</v>
      </c>
      <c r="D96" s="1">
        <v>181803.1</v>
      </c>
    </row>
    <row r="97" spans="1:4" x14ac:dyDescent="0.25">
      <c r="A97" s="11"/>
      <c r="B97" s="11"/>
      <c r="C97" s="11"/>
      <c r="D97" s="11"/>
    </row>
    <row r="98" spans="1:4" x14ac:dyDescent="0.25">
      <c r="A98" s="4"/>
      <c r="B98" s="4"/>
      <c r="C98" s="4"/>
      <c r="D98" s="4"/>
    </row>
    <row r="99" spans="1:4" x14ac:dyDescent="0.25">
      <c r="A99" s="5" t="s">
        <v>99</v>
      </c>
      <c r="B99" s="6" t="s">
        <v>100</v>
      </c>
      <c r="C99" s="2">
        <v>336080.2</v>
      </c>
      <c r="D99" s="2">
        <v>336080.2</v>
      </c>
    </row>
    <row r="100" spans="1:4" x14ac:dyDescent="0.25">
      <c r="A100" s="7"/>
      <c r="B100" s="7"/>
      <c r="C100" s="7"/>
      <c r="D100" s="7"/>
    </row>
    <row r="101" spans="1:4" x14ac:dyDescent="0.25">
      <c r="A101" s="8"/>
      <c r="B101" s="8"/>
      <c r="C101" s="8"/>
      <c r="D101" s="8"/>
    </row>
    <row r="102" spans="1:4" ht="22.5" x14ac:dyDescent="0.25">
      <c r="A102" s="9" t="s">
        <v>101</v>
      </c>
      <c r="B102" s="10" t="s">
        <v>102</v>
      </c>
      <c r="C102" s="1">
        <v>0</v>
      </c>
      <c r="D102" s="1">
        <v>4873420.45</v>
      </c>
    </row>
    <row r="103" spans="1:4" x14ac:dyDescent="0.25">
      <c r="A103" s="11"/>
      <c r="B103" s="11"/>
      <c r="C103" s="11"/>
      <c r="D103" s="11"/>
    </row>
    <row r="104" spans="1:4" x14ac:dyDescent="0.25">
      <c r="A104" s="4"/>
      <c r="B104" s="4"/>
      <c r="C104" s="4"/>
      <c r="D104" s="4"/>
    </row>
    <row r="105" spans="1:4" ht="22.5" x14ac:dyDescent="0.25">
      <c r="A105" s="5" t="s">
        <v>103</v>
      </c>
      <c r="B105" s="6" t="s">
        <v>104</v>
      </c>
      <c r="C105" s="2">
        <v>0</v>
      </c>
      <c r="D105" s="2">
        <v>1383029.09</v>
      </c>
    </row>
    <row r="106" spans="1:4" x14ac:dyDescent="0.25">
      <c r="A106" s="7"/>
      <c r="B106" s="7"/>
      <c r="C106" s="7"/>
      <c r="D106" s="7"/>
    </row>
    <row r="107" spans="1:4" x14ac:dyDescent="0.25">
      <c r="A107" s="8"/>
      <c r="B107" s="8"/>
      <c r="C107" s="8"/>
      <c r="D107" s="8"/>
    </row>
    <row r="108" spans="1:4" ht="22.5" x14ac:dyDescent="0.25">
      <c r="A108" s="9" t="s">
        <v>105</v>
      </c>
      <c r="B108" s="10" t="s">
        <v>106</v>
      </c>
      <c r="C108" s="1">
        <v>0</v>
      </c>
      <c r="D108" s="1">
        <v>6775665.2999999998</v>
      </c>
    </row>
    <row r="109" spans="1:4" x14ac:dyDescent="0.25">
      <c r="A109" s="11"/>
      <c r="B109" s="11"/>
      <c r="C109" s="11"/>
      <c r="D109" s="11"/>
    </row>
    <row r="110" spans="1:4" x14ac:dyDescent="0.25">
      <c r="A110" s="4"/>
      <c r="B110" s="4"/>
      <c r="C110" s="4"/>
      <c r="D110" s="4"/>
    </row>
    <row r="111" spans="1:4" x14ac:dyDescent="0.25">
      <c r="A111" s="5" t="s">
        <v>107</v>
      </c>
      <c r="B111" s="6" t="s">
        <v>108</v>
      </c>
      <c r="C111" s="2">
        <v>0</v>
      </c>
      <c r="D111" s="2">
        <v>8105644</v>
      </c>
    </row>
    <row r="112" spans="1:4" x14ac:dyDescent="0.25">
      <c r="A112" s="7"/>
      <c r="B112" s="7"/>
      <c r="C112" s="7"/>
      <c r="D112" s="7"/>
    </row>
    <row r="113" spans="1:4" x14ac:dyDescent="0.25">
      <c r="A113" s="8"/>
      <c r="B113" s="8"/>
      <c r="C113" s="8"/>
      <c r="D113" s="8"/>
    </row>
    <row r="114" spans="1:4" ht="22.5" x14ac:dyDescent="0.25">
      <c r="A114" s="9" t="s">
        <v>109</v>
      </c>
      <c r="B114" s="10" t="s">
        <v>110</v>
      </c>
      <c r="C114" s="1">
        <v>0</v>
      </c>
      <c r="D114" s="1">
        <v>159854.39999999999</v>
      </c>
    </row>
    <row r="115" spans="1:4" x14ac:dyDescent="0.25">
      <c r="A115" s="11"/>
      <c r="B115" s="11"/>
      <c r="C115" s="11"/>
      <c r="D115" s="11"/>
    </row>
    <row r="116" spans="1:4" x14ac:dyDescent="0.25">
      <c r="A116" s="4"/>
      <c r="B116" s="4"/>
      <c r="C116" s="4"/>
      <c r="D116" s="4"/>
    </row>
    <row r="117" spans="1:4" ht="22.5" x14ac:dyDescent="0.25">
      <c r="A117" s="5" t="s">
        <v>1</v>
      </c>
      <c r="B117" s="6" t="s">
        <v>12</v>
      </c>
      <c r="C117" s="2">
        <v>24089944.5</v>
      </c>
      <c r="D117" s="2">
        <v>24089944.5</v>
      </c>
    </row>
    <row r="118" spans="1:4" x14ac:dyDescent="0.25">
      <c r="A118" s="7"/>
      <c r="B118" s="7"/>
      <c r="C118" s="7"/>
      <c r="D118" s="7"/>
    </row>
    <row r="119" spans="1:4" x14ac:dyDescent="0.25">
      <c r="A119" s="8"/>
      <c r="B119" s="8"/>
      <c r="C119" s="8"/>
      <c r="D119" s="8"/>
    </row>
    <row r="120" spans="1:4" ht="22.5" x14ac:dyDescent="0.25">
      <c r="A120" s="9" t="s">
        <v>111</v>
      </c>
      <c r="B120" s="10" t="s">
        <v>112</v>
      </c>
      <c r="C120" s="1">
        <v>0</v>
      </c>
      <c r="D120" s="1">
        <v>283322.3</v>
      </c>
    </row>
    <row r="121" spans="1:4" x14ac:dyDescent="0.25">
      <c r="A121" s="11"/>
      <c r="B121" s="11"/>
      <c r="C121" s="11"/>
      <c r="D121" s="11"/>
    </row>
    <row r="122" spans="1:4" x14ac:dyDescent="0.25">
      <c r="A122" s="4"/>
      <c r="B122" s="4"/>
      <c r="C122" s="4"/>
      <c r="D122" s="4"/>
    </row>
    <row r="123" spans="1:4" ht="22.5" x14ac:dyDescent="0.25">
      <c r="A123" s="5" t="s">
        <v>113</v>
      </c>
      <c r="B123" s="6" t="s">
        <v>114</v>
      </c>
      <c r="C123" s="2">
        <v>0</v>
      </c>
      <c r="D123" s="2">
        <v>12087832.5</v>
      </c>
    </row>
    <row r="124" spans="1:4" x14ac:dyDescent="0.25">
      <c r="A124" s="7"/>
      <c r="B124" s="7"/>
      <c r="C124" s="7"/>
      <c r="D124" s="7"/>
    </row>
    <row r="125" spans="1:4" x14ac:dyDescent="0.25">
      <c r="A125" s="8"/>
      <c r="B125" s="8"/>
      <c r="C125" s="8"/>
      <c r="D125" s="8"/>
    </row>
    <row r="126" spans="1:4" ht="22.5" x14ac:dyDescent="0.25">
      <c r="A126" s="9" t="s">
        <v>115</v>
      </c>
      <c r="B126" s="10" t="s">
        <v>116</v>
      </c>
      <c r="C126" s="1">
        <v>0</v>
      </c>
      <c r="D126" s="1">
        <v>181803.4</v>
      </c>
    </row>
    <row r="127" spans="1:4" x14ac:dyDescent="0.25">
      <c r="A127" s="11"/>
      <c r="B127" s="11"/>
      <c r="C127" s="11"/>
      <c r="D127" s="11"/>
    </row>
    <row r="128" spans="1:4" x14ac:dyDescent="0.25">
      <c r="A128" s="4"/>
      <c r="B128" s="4"/>
      <c r="C128" s="4"/>
      <c r="D128" s="4"/>
    </row>
    <row r="129" spans="1:4" ht="22.5" x14ac:dyDescent="0.25">
      <c r="A129" s="5" t="s">
        <v>117</v>
      </c>
      <c r="B129" s="6" t="s">
        <v>118</v>
      </c>
      <c r="C129" s="2">
        <v>0</v>
      </c>
      <c r="D129" s="2">
        <v>788788.41</v>
      </c>
    </row>
    <row r="130" spans="1:4" x14ac:dyDescent="0.25">
      <c r="A130" s="7"/>
      <c r="B130" s="7"/>
      <c r="C130" s="7"/>
      <c r="D130" s="7"/>
    </row>
    <row r="131" spans="1:4" x14ac:dyDescent="0.25">
      <c r="A131" s="8"/>
      <c r="B131" s="8"/>
      <c r="C131" s="8"/>
      <c r="D131" s="8"/>
    </row>
    <row r="132" spans="1:4" x14ac:dyDescent="0.25">
      <c r="A132" s="9" t="s">
        <v>119</v>
      </c>
      <c r="B132" s="10" t="s">
        <v>120</v>
      </c>
      <c r="C132" s="1">
        <v>0</v>
      </c>
      <c r="D132" s="1">
        <v>599108.11</v>
      </c>
    </row>
    <row r="133" spans="1:4" x14ac:dyDescent="0.25">
      <c r="A133" s="11"/>
      <c r="B133" s="11"/>
      <c r="C133" s="11"/>
      <c r="D133" s="11"/>
    </row>
    <row r="134" spans="1:4" x14ac:dyDescent="0.25">
      <c r="A134" s="4"/>
      <c r="B134" s="4"/>
      <c r="C134" s="4"/>
      <c r="D134" s="4"/>
    </row>
    <row r="135" spans="1:4" ht="22.5" x14ac:dyDescent="0.25">
      <c r="A135" s="5" t="s">
        <v>121</v>
      </c>
      <c r="B135" s="6" t="s">
        <v>122</v>
      </c>
      <c r="C135" s="2">
        <v>0</v>
      </c>
      <c r="D135" s="2">
        <v>195625.92</v>
      </c>
    </row>
    <row r="136" spans="1:4" x14ac:dyDescent="0.25">
      <c r="A136" s="7"/>
      <c r="B136" s="7"/>
      <c r="C136" s="7"/>
      <c r="D136" s="7"/>
    </row>
    <row r="137" spans="1:4" x14ac:dyDescent="0.25">
      <c r="A137" s="8"/>
      <c r="B137" s="8"/>
      <c r="C137" s="8"/>
      <c r="D137" s="8"/>
    </row>
    <row r="138" spans="1:4" ht="22.5" x14ac:dyDescent="0.25">
      <c r="A138" s="9" t="s">
        <v>123</v>
      </c>
      <c r="B138" s="10" t="s">
        <v>124</v>
      </c>
      <c r="C138" s="1">
        <v>0</v>
      </c>
      <c r="D138" s="1">
        <v>65578.87</v>
      </c>
    </row>
    <row r="139" spans="1:4" x14ac:dyDescent="0.25">
      <c r="A139" s="11"/>
      <c r="B139" s="11"/>
      <c r="C139" s="11"/>
      <c r="D139" s="11"/>
    </row>
    <row r="140" spans="1:4" x14ac:dyDescent="0.25">
      <c r="A140" s="4"/>
      <c r="B140" s="4"/>
      <c r="C140" s="4"/>
      <c r="D140" s="4"/>
    </row>
    <row r="141" spans="1:4" ht="22.5" x14ac:dyDescent="0.25">
      <c r="A141" s="5" t="s">
        <v>125</v>
      </c>
      <c r="B141" s="6" t="s">
        <v>126</v>
      </c>
      <c r="C141" s="2">
        <v>0</v>
      </c>
      <c r="D141" s="2">
        <v>94079929.549999997</v>
      </c>
    </row>
    <row r="142" spans="1:4" x14ac:dyDescent="0.25">
      <c r="A142" s="7"/>
      <c r="B142" s="7"/>
      <c r="C142" s="7"/>
      <c r="D142" s="7"/>
    </row>
    <row r="143" spans="1:4" x14ac:dyDescent="0.25">
      <c r="A143" s="8"/>
      <c r="B143" s="8"/>
      <c r="C143" s="8"/>
      <c r="D143" s="8"/>
    </row>
    <row r="144" spans="1:4" ht="22.5" x14ac:dyDescent="0.25">
      <c r="A144" s="9" t="s">
        <v>127</v>
      </c>
      <c r="B144" s="10" t="s">
        <v>128</v>
      </c>
      <c r="C144" s="1">
        <v>0</v>
      </c>
      <c r="D144" s="1">
        <v>17062682.469999999</v>
      </c>
    </row>
    <row r="145" spans="1:4" x14ac:dyDescent="0.25">
      <c r="A145" s="11"/>
      <c r="B145" s="11"/>
      <c r="C145" s="11"/>
      <c r="D145" s="11"/>
    </row>
    <row r="146" spans="1:4" x14ac:dyDescent="0.25">
      <c r="A146" s="4"/>
      <c r="B146" s="4"/>
      <c r="C146" s="4"/>
      <c r="D146" s="4"/>
    </row>
    <row r="147" spans="1:4" ht="22.5" x14ac:dyDescent="0.25">
      <c r="A147" s="5" t="s">
        <v>129</v>
      </c>
      <c r="B147" s="6" t="s">
        <v>130</v>
      </c>
      <c r="C147" s="2">
        <v>0</v>
      </c>
      <c r="D147" s="2">
        <v>508343.65</v>
      </c>
    </row>
    <row r="148" spans="1:4" x14ac:dyDescent="0.25">
      <c r="A148" s="7"/>
      <c r="B148" s="7"/>
      <c r="C148" s="7"/>
      <c r="D148" s="7"/>
    </row>
    <row r="149" spans="1:4" x14ac:dyDescent="0.25">
      <c r="A149" s="8"/>
      <c r="B149" s="8"/>
      <c r="C149" s="8"/>
      <c r="D149" s="8"/>
    </row>
    <row r="150" spans="1:4" ht="22.5" x14ac:dyDescent="0.25">
      <c r="A150" s="9" t="s">
        <v>131</v>
      </c>
      <c r="B150" s="10" t="s">
        <v>132</v>
      </c>
      <c r="C150" s="1">
        <v>716623.16</v>
      </c>
      <c r="D150" s="1">
        <v>3583115.8</v>
      </c>
    </row>
    <row r="151" spans="1:4" x14ac:dyDescent="0.25">
      <c r="A151" s="11"/>
      <c r="B151" s="11"/>
      <c r="C151" s="11"/>
      <c r="D151" s="11"/>
    </row>
    <row r="152" spans="1:4" x14ac:dyDescent="0.25">
      <c r="A152" s="4"/>
      <c r="B152" s="4"/>
      <c r="C152" s="4"/>
      <c r="D152" s="4"/>
    </row>
    <row r="153" spans="1:4" ht="22.5" x14ac:dyDescent="0.25">
      <c r="A153" s="5" t="s">
        <v>2</v>
      </c>
      <c r="B153" s="6" t="s">
        <v>13</v>
      </c>
      <c r="C153" s="2">
        <v>218199.31</v>
      </c>
      <c r="D153" s="2">
        <v>218199.31</v>
      </c>
    </row>
    <row r="154" spans="1:4" x14ac:dyDescent="0.25">
      <c r="A154" s="7"/>
      <c r="B154" s="7"/>
      <c r="C154" s="7"/>
      <c r="D154" s="7"/>
    </row>
    <row r="155" spans="1:4" x14ac:dyDescent="0.25">
      <c r="A155" s="8"/>
      <c r="B155" s="8"/>
      <c r="C155" s="8"/>
      <c r="D155" s="8"/>
    </row>
    <row r="156" spans="1:4" ht="22.5" x14ac:dyDescent="0.25">
      <c r="A156" s="9" t="s">
        <v>133</v>
      </c>
      <c r="B156" s="10" t="s">
        <v>134</v>
      </c>
      <c r="C156" s="1">
        <v>564671.38</v>
      </c>
      <c r="D156" s="1">
        <v>564671.38</v>
      </c>
    </row>
    <row r="157" spans="1:4" x14ac:dyDescent="0.25">
      <c r="A157" s="11"/>
      <c r="B157" s="11"/>
      <c r="C157" s="11"/>
      <c r="D157" s="11"/>
    </row>
    <row r="158" spans="1:4" x14ac:dyDescent="0.25">
      <c r="A158" s="4"/>
      <c r="B158" s="4"/>
      <c r="C158" s="4"/>
      <c r="D158" s="4"/>
    </row>
    <row r="159" spans="1:4" ht="22.5" x14ac:dyDescent="0.25">
      <c r="A159" s="5" t="s">
        <v>135</v>
      </c>
      <c r="B159" s="6" t="s">
        <v>136</v>
      </c>
      <c r="C159" s="2">
        <v>0</v>
      </c>
      <c r="D159" s="2">
        <v>183494.94</v>
      </c>
    </row>
    <row r="160" spans="1:4" x14ac:dyDescent="0.25">
      <c r="A160" s="7"/>
      <c r="B160" s="7"/>
      <c r="C160" s="7"/>
      <c r="D160" s="7"/>
    </row>
    <row r="161" spans="1:4" x14ac:dyDescent="0.25">
      <c r="A161" s="8"/>
      <c r="B161" s="8"/>
      <c r="C161" s="8"/>
      <c r="D161" s="8"/>
    </row>
    <row r="162" spans="1:4" ht="22.5" x14ac:dyDescent="0.25">
      <c r="A162" s="9" t="s">
        <v>137</v>
      </c>
      <c r="B162" s="10" t="s">
        <v>138</v>
      </c>
      <c r="C162" s="1">
        <v>0</v>
      </c>
      <c r="D162" s="1">
        <v>121347.78</v>
      </c>
    </row>
    <row r="163" spans="1:4" x14ac:dyDescent="0.25">
      <c r="A163" s="11"/>
      <c r="B163" s="11"/>
      <c r="C163" s="11"/>
      <c r="D163" s="11"/>
    </row>
    <row r="164" spans="1:4" x14ac:dyDescent="0.25">
      <c r="A164" s="4"/>
      <c r="B164" s="4"/>
      <c r="C164" s="4"/>
      <c r="D164" s="4"/>
    </row>
    <row r="165" spans="1:4" ht="22.5" x14ac:dyDescent="0.25">
      <c r="A165" s="5" t="s">
        <v>139</v>
      </c>
      <c r="B165" s="6" t="s">
        <v>140</v>
      </c>
      <c r="C165" s="2">
        <v>0</v>
      </c>
      <c r="D165" s="2">
        <v>61029.83</v>
      </c>
    </row>
    <row r="166" spans="1:4" x14ac:dyDescent="0.25">
      <c r="A166" s="7"/>
      <c r="B166" s="7"/>
      <c r="C166" s="7"/>
      <c r="D166" s="7"/>
    </row>
    <row r="167" spans="1:4" x14ac:dyDescent="0.25">
      <c r="A167" s="8"/>
      <c r="B167" s="8"/>
      <c r="C167" s="8"/>
      <c r="D167" s="8"/>
    </row>
    <row r="168" spans="1:4" ht="22.5" x14ac:dyDescent="0.25">
      <c r="A168" s="9" t="s">
        <v>141</v>
      </c>
      <c r="B168" s="10" t="s">
        <v>142</v>
      </c>
      <c r="C168" s="1">
        <v>0</v>
      </c>
      <c r="D168" s="1">
        <v>1040490.23</v>
      </c>
    </row>
    <row r="169" spans="1:4" x14ac:dyDescent="0.25">
      <c r="A169" s="11"/>
      <c r="B169" s="11"/>
      <c r="C169" s="11"/>
      <c r="D169" s="11"/>
    </row>
    <row r="170" spans="1:4" x14ac:dyDescent="0.25">
      <c r="A170" s="4"/>
      <c r="B170" s="4"/>
      <c r="C170" s="4"/>
      <c r="D170" s="4"/>
    </row>
    <row r="171" spans="1:4" ht="22.5" x14ac:dyDescent="0.25">
      <c r="A171" s="5" t="s">
        <v>143</v>
      </c>
      <c r="B171" s="6" t="s">
        <v>144</v>
      </c>
      <c r="C171" s="2">
        <v>0</v>
      </c>
      <c r="D171" s="2">
        <v>232318.79</v>
      </c>
    </row>
    <row r="172" spans="1:4" x14ac:dyDescent="0.25">
      <c r="A172" s="7"/>
      <c r="B172" s="7"/>
      <c r="C172" s="7"/>
      <c r="D172" s="7"/>
    </row>
    <row r="173" spans="1:4" x14ac:dyDescent="0.25">
      <c r="A173" s="8"/>
      <c r="B173" s="8"/>
      <c r="C173" s="8"/>
      <c r="D173" s="8"/>
    </row>
    <row r="174" spans="1:4" ht="22.5" x14ac:dyDescent="0.25">
      <c r="A174" s="9" t="s">
        <v>3</v>
      </c>
      <c r="B174" s="10" t="s">
        <v>14</v>
      </c>
      <c r="C174" s="1">
        <v>137269.82</v>
      </c>
      <c r="D174" s="1">
        <v>137269.82</v>
      </c>
    </row>
    <row r="175" spans="1:4" x14ac:dyDescent="0.25">
      <c r="A175" s="11"/>
      <c r="B175" s="11"/>
      <c r="C175" s="11"/>
      <c r="D175" s="11"/>
    </row>
    <row r="176" spans="1:4" x14ac:dyDescent="0.25">
      <c r="A176" s="4"/>
      <c r="B176" s="4"/>
      <c r="C176" s="4"/>
      <c r="D176" s="4"/>
    </row>
    <row r="177" spans="1:4" x14ac:dyDescent="0.25">
      <c r="A177" s="5" t="s">
        <v>145</v>
      </c>
      <c r="B177" s="6" t="s">
        <v>146</v>
      </c>
      <c r="C177" s="2">
        <v>1314589.32</v>
      </c>
      <c r="D177" s="2">
        <v>20244675.559999999</v>
      </c>
    </row>
    <row r="178" spans="1:4" x14ac:dyDescent="0.25">
      <c r="A178" s="7"/>
      <c r="B178" s="7"/>
      <c r="C178" s="7"/>
      <c r="D178" s="7"/>
    </row>
    <row r="179" spans="1:4" x14ac:dyDescent="0.25">
      <c r="A179" s="8"/>
      <c r="B179" s="8"/>
      <c r="C179" s="8"/>
      <c r="D179" s="8"/>
    </row>
    <row r="180" spans="1:4" ht="22.5" x14ac:dyDescent="0.25">
      <c r="A180" s="9" t="s">
        <v>147</v>
      </c>
      <c r="B180" s="10" t="s">
        <v>148</v>
      </c>
      <c r="C180" s="1">
        <v>67810.92</v>
      </c>
      <c r="D180" s="1">
        <v>67810.92</v>
      </c>
    </row>
    <row r="181" spans="1:4" x14ac:dyDescent="0.25">
      <c r="A181" s="11"/>
      <c r="B181" s="11"/>
      <c r="C181" s="11"/>
      <c r="D181" s="11"/>
    </row>
    <row r="182" spans="1:4" x14ac:dyDescent="0.25">
      <c r="A182" s="4"/>
      <c r="B182" s="4"/>
      <c r="C182" s="4"/>
      <c r="D182" s="4"/>
    </row>
    <row r="183" spans="1:4" ht="22.5" x14ac:dyDescent="0.25">
      <c r="A183" s="5" t="s">
        <v>4</v>
      </c>
      <c r="B183" s="6" t="s">
        <v>15</v>
      </c>
      <c r="C183" s="2">
        <v>203883.27</v>
      </c>
      <c r="D183" s="2">
        <v>203883.27</v>
      </c>
    </row>
    <row r="184" spans="1:4" x14ac:dyDescent="0.25">
      <c r="A184" s="7"/>
      <c r="B184" s="7"/>
      <c r="C184" s="7"/>
      <c r="D184" s="7"/>
    </row>
    <row r="185" spans="1:4" x14ac:dyDescent="0.25">
      <c r="A185" s="8"/>
      <c r="B185" s="8"/>
      <c r="C185" s="8"/>
      <c r="D185" s="8"/>
    </row>
    <row r="186" spans="1:4" ht="22.5" x14ac:dyDescent="0.25">
      <c r="A186" s="9" t="s">
        <v>5</v>
      </c>
      <c r="B186" s="10" t="s">
        <v>16</v>
      </c>
      <c r="C186" s="1">
        <v>567348.56999999995</v>
      </c>
      <c r="D186" s="1">
        <v>567348.56999999995</v>
      </c>
    </row>
    <row r="187" spans="1:4" x14ac:dyDescent="0.25">
      <c r="A187" s="11"/>
      <c r="B187" s="11"/>
      <c r="C187" s="11"/>
      <c r="D187" s="11"/>
    </row>
    <row r="188" spans="1:4" x14ac:dyDescent="0.25">
      <c r="A188" s="4"/>
      <c r="B188" s="4"/>
      <c r="C188" s="4"/>
      <c r="D188" s="4"/>
    </row>
    <row r="189" spans="1:4" ht="22.5" x14ac:dyDescent="0.25">
      <c r="A189" s="5" t="s">
        <v>239</v>
      </c>
      <c r="B189" s="6" t="s">
        <v>240</v>
      </c>
      <c r="C189" s="2">
        <v>9234671.9499999993</v>
      </c>
      <c r="D189" s="2">
        <v>9234671.9499999993</v>
      </c>
    </row>
    <row r="190" spans="1:4" x14ac:dyDescent="0.25">
      <c r="A190" s="7"/>
      <c r="B190" s="7"/>
      <c r="C190" s="7"/>
      <c r="D190" s="7"/>
    </row>
    <row r="191" spans="1:4" x14ac:dyDescent="0.25">
      <c r="A191" s="8"/>
      <c r="B191" s="8"/>
      <c r="C191" s="8"/>
      <c r="D191" s="8"/>
    </row>
    <row r="192" spans="1:4" ht="22.5" x14ac:dyDescent="0.25">
      <c r="A192" s="9" t="s">
        <v>149</v>
      </c>
      <c r="B192" s="10" t="s">
        <v>150</v>
      </c>
      <c r="C192" s="1">
        <v>137269.82</v>
      </c>
      <c r="D192" s="1">
        <v>137269.82</v>
      </c>
    </row>
    <row r="193" spans="1:4" x14ac:dyDescent="0.25">
      <c r="A193" s="11"/>
      <c r="B193" s="11"/>
      <c r="C193" s="11"/>
      <c r="D193" s="11"/>
    </row>
    <row r="194" spans="1:4" x14ac:dyDescent="0.25">
      <c r="A194" s="4"/>
      <c r="B194" s="4"/>
      <c r="C194" s="4"/>
      <c r="D194" s="4"/>
    </row>
    <row r="195" spans="1:4" ht="22.5" x14ac:dyDescent="0.25">
      <c r="A195" s="5" t="s">
        <v>151</v>
      </c>
      <c r="B195" s="6" t="s">
        <v>152</v>
      </c>
      <c r="C195" s="2">
        <v>199314.38</v>
      </c>
      <c r="D195" s="2">
        <v>199314.38</v>
      </c>
    </row>
    <row r="196" spans="1:4" x14ac:dyDescent="0.25">
      <c r="A196" s="7"/>
      <c r="B196" s="7"/>
      <c r="C196" s="7"/>
      <c r="D196" s="7"/>
    </row>
    <row r="197" spans="1:4" x14ac:dyDescent="0.25">
      <c r="A197" s="8"/>
      <c r="B197" s="8"/>
      <c r="C197" s="8"/>
      <c r="D197" s="8"/>
    </row>
    <row r="198" spans="1:4" ht="22.5" x14ac:dyDescent="0.25">
      <c r="A198" s="9" t="s">
        <v>153</v>
      </c>
      <c r="B198" s="10" t="s">
        <v>154</v>
      </c>
      <c r="C198" s="1">
        <v>203883.27</v>
      </c>
      <c r="D198" s="1">
        <v>203883.27</v>
      </c>
    </row>
    <row r="199" spans="1:4" x14ac:dyDescent="0.25">
      <c r="A199" s="11"/>
      <c r="B199" s="11"/>
      <c r="C199" s="11"/>
      <c r="D199" s="11"/>
    </row>
    <row r="200" spans="1:4" x14ac:dyDescent="0.25">
      <c r="A200" s="4"/>
      <c r="B200" s="4"/>
      <c r="C200" s="4"/>
      <c r="D200" s="4"/>
    </row>
    <row r="201" spans="1:4" ht="22.5" x14ac:dyDescent="0.25">
      <c r="A201" s="5" t="s">
        <v>155</v>
      </c>
      <c r="B201" s="6" t="s">
        <v>156</v>
      </c>
      <c r="C201" s="2">
        <v>0</v>
      </c>
      <c r="D201" s="2">
        <v>203561619</v>
      </c>
    </row>
    <row r="202" spans="1:4" x14ac:dyDescent="0.25">
      <c r="A202" s="7"/>
      <c r="B202" s="7"/>
      <c r="C202" s="7"/>
      <c r="D202" s="7"/>
    </row>
    <row r="203" spans="1:4" x14ac:dyDescent="0.25">
      <c r="A203" s="8"/>
      <c r="B203" s="8"/>
      <c r="C203" s="8"/>
      <c r="D203" s="8"/>
    </row>
    <row r="204" spans="1:4" ht="22.5" x14ac:dyDescent="0.25">
      <c r="A204" s="9" t="s">
        <v>157</v>
      </c>
      <c r="B204" s="10" t="s">
        <v>158</v>
      </c>
      <c r="C204" s="1">
        <v>0</v>
      </c>
      <c r="D204" s="1">
        <v>127171014.53</v>
      </c>
    </row>
    <row r="205" spans="1:4" x14ac:dyDescent="0.25">
      <c r="A205" s="11"/>
      <c r="B205" s="11"/>
      <c r="C205" s="11"/>
      <c r="D205" s="11"/>
    </row>
    <row r="206" spans="1:4" x14ac:dyDescent="0.25">
      <c r="A206" s="4"/>
      <c r="B206" s="4"/>
      <c r="C206" s="4"/>
      <c r="D206" s="4"/>
    </row>
    <row r="207" spans="1:4" x14ac:dyDescent="0.25">
      <c r="A207" s="5" t="s">
        <v>159</v>
      </c>
      <c r="B207" s="6" t="s">
        <v>160</v>
      </c>
      <c r="C207" s="2">
        <v>0</v>
      </c>
      <c r="D207" s="2">
        <v>165630000</v>
      </c>
    </row>
    <row r="208" spans="1:4" x14ac:dyDescent="0.25">
      <c r="A208" s="7"/>
      <c r="B208" s="7"/>
      <c r="C208" s="7"/>
      <c r="D208" s="7"/>
    </row>
    <row r="209" spans="1:4" x14ac:dyDescent="0.25">
      <c r="A209" s="8"/>
      <c r="B209" s="8"/>
      <c r="C209" s="8"/>
      <c r="D209" s="8"/>
    </row>
    <row r="210" spans="1:4" x14ac:dyDescent="0.25">
      <c r="A210" s="9" t="s">
        <v>161</v>
      </c>
      <c r="B210" s="10" t="s">
        <v>162</v>
      </c>
      <c r="C210" s="1">
        <v>0</v>
      </c>
      <c r="D210" s="1">
        <v>3784091.75</v>
      </c>
    </row>
    <row r="211" spans="1:4" x14ac:dyDescent="0.25">
      <c r="A211" s="11"/>
      <c r="B211" s="11"/>
      <c r="C211" s="11"/>
      <c r="D211" s="11"/>
    </row>
    <row r="212" spans="1:4" x14ac:dyDescent="0.25">
      <c r="A212" s="4"/>
      <c r="B212" s="4"/>
      <c r="C212" s="4"/>
      <c r="D212" s="4"/>
    </row>
    <row r="213" spans="1:4" x14ac:dyDescent="0.25">
      <c r="A213" s="5" t="s">
        <v>163</v>
      </c>
      <c r="B213" s="6" t="s">
        <v>164</v>
      </c>
      <c r="C213" s="2">
        <v>0</v>
      </c>
      <c r="D213" s="2">
        <v>18500000</v>
      </c>
    </row>
    <row r="214" spans="1:4" x14ac:dyDescent="0.25">
      <c r="A214" s="7"/>
      <c r="B214" s="7"/>
      <c r="C214" s="7"/>
      <c r="D214" s="7"/>
    </row>
    <row r="215" spans="1:4" x14ac:dyDescent="0.25">
      <c r="A215" s="8"/>
      <c r="B215" s="8"/>
      <c r="C215" s="8"/>
      <c r="D215" s="8"/>
    </row>
    <row r="216" spans="1:4" x14ac:dyDescent="0.25">
      <c r="A216" s="9" t="s">
        <v>165</v>
      </c>
      <c r="B216" s="10" t="s">
        <v>166</v>
      </c>
      <c r="C216" s="1">
        <v>0</v>
      </c>
      <c r="D216" s="1">
        <v>2076372.55</v>
      </c>
    </row>
    <row r="217" spans="1:4" x14ac:dyDescent="0.25">
      <c r="A217" s="11"/>
      <c r="B217" s="11"/>
      <c r="C217" s="11"/>
      <c r="D217" s="11"/>
    </row>
    <row r="218" spans="1:4" x14ac:dyDescent="0.25">
      <c r="A218" s="4"/>
      <c r="B218" s="4"/>
      <c r="C218" s="4"/>
      <c r="D218" s="4"/>
    </row>
    <row r="219" spans="1:4" x14ac:dyDescent="0.25">
      <c r="A219" s="5" t="s">
        <v>167</v>
      </c>
      <c r="B219" s="6" t="s">
        <v>168</v>
      </c>
      <c r="C219" s="2">
        <v>0</v>
      </c>
      <c r="D219" s="2">
        <v>5515126.2300000004</v>
      </c>
    </row>
    <row r="220" spans="1:4" x14ac:dyDescent="0.25">
      <c r="A220" s="7"/>
      <c r="B220" s="7"/>
      <c r="C220" s="7"/>
      <c r="D220" s="7"/>
    </row>
    <row r="221" spans="1:4" x14ac:dyDescent="0.25">
      <c r="A221" s="8"/>
      <c r="B221" s="8"/>
      <c r="C221" s="8"/>
      <c r="D221" s="8"/>
    </row>
    <row r="222" spans="1:4" x14ac:dyDescent="0.25">
      <c r="A222" s="9" t="s">
        <v>169</v>
      </c>
      <c r="B222" s="10" t="s">
        <v>170</v>
      </c>
      <c r="C222" s="1">
        <v>0</v>
      </c>
      <c r="D222" s="1">
        <v>5582787.7800000003</v>
      </c>
    </row>
    <row r="223" spans="1:4" x14ac:dyDescent="0.25">
      <c r="A223" s="11"/>
      <c r="B223" s="11"/>
      <c r="C223" s="11"/>
      <c r="D223" s="11"/>
    </row>
    <row r="224" spans="1:4" x14ac:dyDescent="0.25">
      <c r="A224" s="4"/>
      <c r="B224" s="4"/>
      <c r="C224" s="4"/>
      <c r="D224" s="4"/>
    </row>
    <row r="225" spans="1:4" ht="22.5" x14ac:dyDescent="0.25">
      <c r="A225" s="5" t="s">
        <v>171</v>
      </c>
      <c r="B225" s="6" t="s">
        <v>172</v>
      </c>
      <c r="C225" s="2">
        <v>0</v>
      </c>
      <c r="D225" s="2">
        <v>9730904.5999999996</v>
      </c>
    </row>
    <row r="226" spans="1:4" x14ac:dyDescent="0.25">
      <c r="A226" s="7"/>
      <c r="B226" s="7"/>
      <c r="C226" s="7"/>
      <c r="D226" s="7"/>
    </row>
    <row r="227" spans="1:4" x14ac:dyDescent="0.25">
      <c r="A227" s="8"/>
      <c r="B227" s="8"/>
      <c r="C227" s="8"/>
      <c r="D227" s="8"/>
    </row>
    <row r="228" spans="1:4" ht="22.5" x14ac:dyDescent="0.25">
      <c r="A228" s="9" t="s">
        <v>173</v>
      </c>
      <c r="B228" s="10" t="s">
        <v>174</v>
      </c>
      <c r="C228" s="1">
        <v>0</v>
      </c>
      <c r="D228" s="1">
        <v>4960679.96</v>
      </c>
    </row>
    <row r="229" spans="1:4" x14ac:dyDescent="0.25">
      <c r="A229" s="11"/>
      <c r="B229" s="11"/>
      <c r="C229" s="11"/>
      <c r="D229" s="11"/>
    </row>
    <row r="230" spans="1:4" x14ac:dyDescent="0.25">
      <c r="A230" s="4"/>
      <c r="B230" s="4"/>
      <c r="C230" s="4"/>
      <c r="D230" s="4"/>
    </row>
    <row r="231" spans="1:4" ht="22.5" x14ac:dyDescent="0.25">
      <c r="A231" s="5" t="s">
        <v>175</v>
      </c>
      <c r="B231" s="6" t="s">
        <v>176</v>
      </c>
      <c r="C231" s="2">
        <v>0</v>
      </c>
      <c r="D231" s="2">
        <v>22888437.300000001</v>
      </c>
    </row>
    <row r="232" spans="1:4" x14ac:dyDescent="0.25">
      <c r="A232" s="7"/>
      <c r="B232" s="7"/>
      <c r="C232" s="7"/>
      <c r="D232" s="7"/>
    </row>
    <row r="233" spans="1:4" x14ac:dyDescent="0.25">
      <c r="A233" s="8"/>
      <c r="B233" s="8"/>
      <c r="C233" s="8"/>
      <c r="D233" s="8"/>
    </row>
    <row r="234" spans="1:4" ht="22.5" x14ac:dyDescent="0.25">
      <c r="A234" s="9" t="s">
        <v>177</v>
      </c>
      <c r="B234" s="10" t="s">
        <v>178</v>
      </c>
      <c r="C234" s="1">
        <v>0</v>
      </c>
      <c r="D234" s="1">
        <v>847087.63</v>
      </c>
    </row>
    <row r="235" spans="1:4" x14ac:dyDescent="0.25">
      <c r="A235" s="11"/>
      <c r="B235" s="11"/>
      <c r="C235" s="11"/>
      <c r="D235" s="11"/>
    </row>
    <row r="236" spans="1:4" x14ac:dyDescent="0.25">
      <c r="A236" s="4"/>
      <c r="B236" s="4"/>
      <c r="C236" s="4"/>
      <c r="D236" s="4"/>
    </row>
    <row r="237" spans="1:4" x14ac:dyDescent="0.25">
      <c r="A237" s="5" t="s">
        <v>243</v>
      </c>
      <c r="B237" s="6" t="s">
        <v>244</v>
      </c>
      <c r="C237" s="2">
        <v>2425416.39</v>
      </c>
      <c r="D237" s="2">
        <v>2425416.39</v>
      </c>
    </row>
    <row r="238" spans="1:4" x14ac:dyDescent="0.25">
      <c r="A238" s="7"/>
      <c r="B238" s="7"/>
      <c r="C238" s="7"/>
      <c r="D238" s="7"/>
    </row>
    <row r="239" spans="1:4" x14ac:dyDescent="0.25">
      <c r="A239" s="8"/>
      <c r="B239" s="8"/>
      <c r="C239" s="8"/>
      <c r="D239" s="8"/>
    </row>
    <row r="240" spans="1:4" ht="22.5" x14ac:dyDescent="0.25">
      <c r="A240" s="9" t="s">
        <v>179</v>
      </c>
      <c r="B240" s="10" t="s">
        <v>180</v>
      </c>
      <c r="C240" s="1">
        <v>0</v>
      </c>
      <c r="D240" s="1">
        <v>2987518.24</v>
      </c>
    </row>
    <row r="241" spans="1:4" x14ac:dyDescent="0.25">
      <c r="A241" s="11"/>
      <c r="B241" s="11"/>
      <c r="C241" s="11"/>
      <c r="D241" s="11"/>
    </row>
    <row r="242" spans="1:4" x14ac:dyDescent="0.25">
      <c r="A242" s="4"/>
      <c r="B242" s="4"/>
      <c r="C242" s="4"/>
      <c r="D242" s="4"/>
    </row>
    <row r="243" spans="1:4" ht="22.5" x14ac:dyDescent="0.25">
      <c r="A243" s="5" t="s">
        <v>181</v>
      </c>
      <c r="B243" s="6" t="s">
        <v>182</v>
      </c>
      <c r="C243" s="2">
        <v>0</v>
      </c>
      <c r="D243" s="2">
        <v>768952.28</v>
      </c>
    </row>
    <row r="244" spans="1:4" x14ac:dyDescent="0.25">
      <c r="A244" s="7"/>
      <c r="B244" s="7"/>
      <c r="C244" s="7"/>
      <c r="D244" s="7"/>
    </row>
    <row r="245" spans="1:4" x14ac:dyDescent="0.25">
      <c r="A245" s="8"/>
      <c r="B245" s="8"/>
      <c r="C245" s="8"/>
      <c r="D245" s="8"/>
    </row>
    <row r="246" spans="1:4" ht="22.5" x14ac:dyDescent="0.25">
      <c r="A246" s="9" t="s">
        <v>183</v>
      </c>
      <c r="B246" s="10" t="s">
        <v>184</v>
      </c>
      <c r="C246" s="1">
        <v>0</v>
      </c>
      <c r="D246" s="1">
        <v>1371505.8</v>
      </c>
    </row>
    <row r="247" spans="1:4" x14ac:dyDescent="0.25">
      <c r="A247" s="11"/>
      <c r="B247" s="11"/>
      <c r="C247" s="11"/>
      <c r="D247" s="11"/>
    </row>
    <row r="248" spans="1:4" x14ac:dyDescent="0.25">
      <c r="A248" s="4"/>
      <c r="B248" s="4"/>
      <c r="C248" s="4"/>
      <c r="D248" s="4"/>
    </row>
    <row r="249" spans="1:4" ht="22.5" x14ac:dyDescent="0.25">
      <c r="A249" s="5" t="s">
        <v>6</v>
      </c>
      <c r="B249" s="6" t="s">
        <v>17</v>
      </c>
      <c r="C249" s="2">
        <v>0</v>
      </c>
      <c r="D249" s="2">
        <v>2558906.48</v>
      </c>
    </row>
    <row r="250" spans="1:4" x14ac:dyDescent="0.25">
      <c r="A250" s="7"/>
      <c r="B250" s="7"/>
      <c r="C250" s="7"/>
      <c r="D250" s="7"/>
    </row>
    <row r="251" spans="1:4" x14ac:dyDescent="0.25">
      <c r="A251" s="8"/>
      <c r="B251" s="8"/>
      <c r="C251" s="8"/>
      <c r="D251" s="8"/>
    </row>
    <row r="252" spans="1:4" ht="22.5" x14ac:dyDescent="0.25">
      <c r="A252" s="9" t="s">
        <v>185</v>
      </c>
      <c r="B252" s="10" t="s">
        <v>186</v>
      </c>
      <c r="C252" s="1">
        <v>0</v>
      </c>
      <c r="D252" s="1">
        <v>1329021.1499999999</v>
      </c>
    </row>
    <row r="253" spans="1:4" x14ac:dyDescent="0.25">
      <c r="A253" s="11"/>
      <c r="B253" s="11"/>
      <c r="C253" s="11"/>
      <c r="D253" s="11"/>
    </row>
    <row r="254" spans="1:4" x14ac:dyDescent="0.25">
      <c r="A254" s="4"/>
      <c r="B254" s="4"/>
      <c r="C254" s="4"/>
      <c r="D254" s="4"/>
    </row>
    <row r="255" spans="1:4" ht="22.5" x14ac:dyDescent="0.25">
      <c r="A255" s="5" t="s">
        <v>187</v>
      </c>
      <c r="B255" s="6" t="s">
        <v>188</v>
      </c>
      <c r="C255" s="2">
        <v>0</v>
      </c>
      <c r="D255" s="2">
        <v>32195587.93</v>
      </c>
    </row>
    <row r="256" spans="1:4" x14ac:dyDescent="0.25">
      <c r="A256" s="7"/>
      <c r="B256" s="7"/>
      <c r="C256" s="7"/>
      <c r="D256" s="7"/>
    </row>
    <row r="257" spans="1:4" x14ac:dyDescent="0.25">
      <c r="A257" s="8"/>
      <c r="B257" s="8"/>
      <c r="C257" s="8"/>
      <c r="D257" s="8"/>
    </row>
    <row r="258" spans="1:4" ht="22.5" x14ac:dyDescent="0.25">
      <c r="A258" s="9" t="s">
        <v>189</v>
      </c>
      <c r="B258" s="10" t="s">
        <v>190</v>
      </c>
      <c r="C258" s="1">
        <v>0</v>
      </c>
      <c r="D258" s="1">
        <v>2759019.32</v>
      </c>
    </row>
    <row r="259" spans="1:4" x14ac:dyDescent="0.25">
      <c r="A259" s="11"/>
      <c r="B259" s="11"/>
      <c r="C259" s="11"/>
      <c r="D259" s="11"/>
    </row>
    <row r="260" spans="1:4" x14ac:dyDescent="0.25">
      <c r="A260" s="4"/>
      <c r="B260" s="4"/>
      <c r="C260" s="4"/>
      <c r="D260" s="4"/>
    </row>
    <row r="261" spans="1:4" ht="22.5" x14ac:dyDescent="0.25">
      <c r="A261" s="5" t="s">
        <v>191</v>
      </c>
      <c r="B261" s="6" t="s">
        <v>192</v>
      </c>
      <c r="C261" s="2">
        <v>0</v>
      </c>
      <c r="D261" s="2">
        <v>6277413.5499999998</v>
      </c>
    </row>
    <row r="262" spans="1:4" x14ac:dyDescent="0.25">
      <c r="A262" s="7"/>
      <c r="B262" s="7"/>
      <c r="C262" s="7"/>
      <c r="D262" s="7"/>
    </row>
    <row r="263" spans="1:4" x14ac:dyDescent="0.25">
      <c r="A263" s="8"/>
      <c r="B263" s="8"/>
      <c r="C263" s="8"/>
      <c r="D263" s="8"/>
    </row>
    <row r="264" spans="1:4" ht="22.5" x14ac:dyDescent="0.25">
      <c r="A264" s="9" t="s">
        <v>7</v>
      </c>
      <c r="B264" s="10" t="s">
        <v>18</v>
      </c>
      <c r="C264" s="1">
        <v>4268792.84</v>
      </c>
      <c r="D264" s="1">
        <v>4268792.84</v>
      </c>
    </row>
    <row r="265" spans="1:4" x14ac:dyDescent="0.25">
      <c r="A265" s="11"/>
      <c r="B265" s="11"/>
      <c r="C265" s="11"/>
      <c r="D265" s="11"/>
    </row>
    <row r="266" spans="1:4" x14ac:dyDescent="0.25">
      <c r="A266" s="4"/>
      <c r="B266" s="4"/>
      <c r="C266" s="4"/>
      <c r="D266" s="4"/>
    </row>
    <row r="267" spans="1:4" ht="22.5" x14ac:dyDescent="0.25">
      <c r="A267" s="5" t="s">
        <v>193</v>
      </c>
      <c r="B267" s="6" t="s">
        <v>194</v>
      </c>
      <c r="C267" s="2">
        <v>0</v>
      </c>
      <c r="D267" s="2">
        <v>19218262.5</v>
      </c>
    </row>
    <row r="268" spans="1:4" x14ac:dyDescent="0.25">
      <c r="A268" s="7"/>
      <c r="B268" s="7"/>
      <c r="C268" s="7"/>
      <c r="D268" s="7"/>
    </row>
    <row r="269" spans="1:4" x14ac:dyDescent="0.25">
      <c r="A269" s="8"/>
      <c r="B269" s="8"/>
      <c r="C269" s="8"/>
      <c r="D269" s="8"/>
    </row>
    <row r="270" spans="1:4" ht="22.5" x14ac:dyDescent="0.25">
      <c r="A270" s="9" t="s">
        <v>195</v>
      </c>
      <c r="B270" s="10" t="s">
        <v>196</v>
      </c>
      <c r="C270" s="1">
        <v>0</v>
      </c>
      <c r="D270" s="1">
        <v>5523599.8700000001</v>
      </c>
    </row>
    <row r="271" spans="1:4" x14ac:dyDescent="0.25">
      <c r="A271" s="11"/>
      <c r="B271" s="11"/>
      <c r="C271" s="11"/>
      <c r="D271" s="11"/>
    </row>
    <row r="272" spans="1:4" x14ac:dyDescent="0.25">
      <c r="A272" s="4"/>
      <c r="B272" s="4"/>
      <c r="C272" s="4"/>
      <c r="D272" s="4"/>
    </row>
    <row r="273" spans="1:4" ht="22.5" x14ac:dyDescent="0.25">
      <c r="A273" s="5" t="s">
        <v>197</v>
      </c>
      <c r="B273" s="6" t="s">
        <v>198</v>
      </c>
      <c r="C273" s="2">
        <v>0</v>
      </c>
      <c r="D273" s="2">
        <v>1556432.46</v>
      </c>
    </row>
    <row r="274" spans="1:4" x14ac:dyDescent="0.25">
      <c r="A274" s="7"/>
      <c r="B274" s="7"/>
      <c r="C274" s="7"/>
      <c r="D274" s="7"/>
    </row>
    <row r="275" spans="1:4" x14ac:dyDescent="0.25">
      <c r="A275" s="8"/>
      <c r="B275" s="8"/>
      <c r="C275" s="8"/>
      <c r="D275" s="8"/>
    </row>
    <row r="276" spans="1:4" ht="22.5" x14ac:dyDescent="0.25">
      <c r="A276" s="9" t="s">
        <v>8</v>
      </c>
      <c r="B276" s="10" t="s">
        <v>19</v>
      </c>
      <c r="C276" s="1">
        <v>2361359.7400000002</v>
      </c>
      <c r="D276" s="1">
        <v>2361359.7400000002</v>
      </c>
    </row>
    <row r="277" spans="1:4" x14ac:dyDescent="0.25">
      <c r="A277" s="11"/>
      <c r="B277" s="11"/>
      <c r="C277" s="11"/>
      <c r="D277" s="11"/>
    </row>
    <row r="278" spans="1:4" x14ac:dyDescent="0.25">
      <c r="A278" s="4"/>
      <c r="B278" s="4"/>
      <c r="C278" s="4"/>
      <c r="D278" s="4"/>
    </row>
    <row r="279" spans="1:4" ht="22.5" x14ac:dyDescent="0.25">
      <c r="A279" s="5" t="s">
        <v>199</v>
      </c>
      <c r="B279" s="6" t="s">
        <v>200</v>
      </c>
      <c r="C279" s="2">
        <v>0</v>
      </c>
      <c r="D279" s="2">
        <v>35327981.159999996</v>
      </c>
    </row>
    <row r="280" spans="1:4" x14ac:dyDescent="0.25">
      <c r="A280" s="7"/>
      <c r="B280" s="7"/>
      <c r="C280" s="7"/>
      <c r="D280" s="7"/>
    </row>
    <row r="281" spans="1:4" x14ac:dyDescent="0.25">
      <c r="A281" s="8"/>
      <c r="B281" s="8"/>
      <c r="C281" s="8"/>
      <c r="D281" s="8"/>
    </row>
    <row r="282" spans="1:4" ht="22.5" x14ac:dyDescent="0.25">
      <c r="A282" s="9" t="s">
        <v>201</v>
      </c>
      <c r="B282" s="10" t="s">
        <v>202</v>
      </c>
      <c r="C282" s="1">
        <v>0</v>
      </c>
      <c r="D282" s="1">
        <v>27083573.57</v>
      </c>
    </row>
    <row r="283" spans="1:4" x14ac:dyDescent="0.25">
      <c r="A283" s="11"/>
      <c r="B283" s="11"/>
      <c r="C283" s="11"/>
      <c r="D283" s="11"/>
    </row>
    <row r="284" spans="1:4" x14ac:dyDescent="0.25">
      <c r="A284" s="4"/>
      <c r="B284" s="4"/>
      <c r="C284" s="4"/>
      <c r="D284" s="4"/>
    </row>
    <row r="285" spans="1:4" ht="22.5" x14ac:dyDescent="0.25">
      <c r="A285" s="5" t="s">
        <v>203</v>
      </c>
      <c r="B285" s="6" t="s">
        <v>204</v>
      </c>
      <c r="C285" s="2">
        <v>0</v>
      </c>
      <c r="D285" s="2">
        <v>1004599.27</v>
      </c>
    </row>
    <row r="286" spans="1:4" x14ac:dyDescent="0.25">
      <c r="A286" s="7"/>
      <c r="B286" s="7"/>
      <c r="C286" s="7"/>
      <c r="D286" s="7"/>
    </row>
    <row r="287" spans="1:4" x14ac:dyDescent="0.25">
      <c r="A287" s="8"/>
      <c r="B287" s="8"/>
      <c r="C287" s="8"/>
      <c r="D287" s="8"/>
    </row>
    <row r="288" spans="1:4" ht="22.5" x14ac:dyDescent="0.25">
      <c r="A288" s="9" t="s">
        <v>205</v>
      </c>
      <c r="B288" s="10" t="s">
        <v>206</v>
      </c>
      <c r="C288" s="1">
        <v>0</v>
      </c>
      <c r="D288" s="1">
        <v>1626262.86</v>
      </c>
    </row>
    <row r="289" spans="1:4" x14ac:dyDescent="0.25">
      <c r="A289" s="11"/>
      <c r="B289" s="11"/>
      <c r="C289" s="11"/>
      <c r="D289" s="11"/>
    </row>
    <row r="290" spans="1:4" x14ac:dyDescent="0.25">
      <c r="A290" s="4"/>
      <c r="B290" s="4"/>
      <c r="C290" s="4"/>
      <c r="D290" s="4"/>
    </row>
    <row r="291" spans="1:4" ht="22.5" x14ac:dyDescent="0.25">
      <c r="A291" s="5" t="s">
        <v>207</v>
      </c>
      <c r="B291" s="6" t="s">
        <v>208</v>
      </c>
      <c r="C291" s="2">
        <v>0</v>
      </c>
      <c r="D291" s="2">
        <v>777981.56</v>
      </c>
    </row>
    <row r="292" spans="1:4" x14ac:dyDescent="0.25">
      <c r="A292" s="7"/>
      <c r="B292" s="7"/>
      <c r="C292" s="7"/>
      <c r="D292" s="7"/>
    </row>
    <row r="293" spans="1:4" x14ac:dyDescent="0.25">
      <c r="A293" s="8"/>
      <c r="B293" s="8"/>
      <c r="C293" s="8"/>
      <c r="D293" s="8"/>
    </row>
    <row r="294" spans="1:4" ht="22.5" x14ac:dyDescent="0.25">
      <c r="A294" s="9" t="s">
        <v>209</v>
      </c>
      <c r="B294" s="10" t="s">
        <v>210</v>
      </c>
      <c r="C294" s="1">
        <v>0</v>
      </c>
      <c r="D294" s="1">
        <v>82174.710000000006</v>
      </c>
    </row>
    <row r="295" spans="1:4" x14ac:dyDescent="0.25">
      <c r="A295" s="11"/>
      <c r="B295" s="11"/>
      <c r="C295" s="11"/>
      <c r="D295" s="11"/>
    </row>
    <row r="296" spans="1:4" x14ac:dyDescent="0.25">
      <c r="A296" s="4"/>
      <c r="B296" s="4"/>
      <c r="C296" s="4"/>
      <c r="D296" s="4"/>
    </row>
    <row r="297" spans="1:4" ht="22.5" x14ac:dyDescent="0.25">
      <c r="A297" s="5" t="s">
        <v>9</v>
      </c>
      <c r="B297" s="6" t="s">
        <v>20</v>
      </c>
      <c r="C297" s="2">
        <v>17728563.670000002</v>
      </c>
      <c r="D297" s="2">
        <v>17728563.670000002</v>
      </c>
    </row>
    <row r="298" spans="1:4" x14ac:dyDescent="0.25">
      <c r="A298" s="7"/>
      <c r="B298" s="7"/>
      <c r="C298" s="7"/>
      <c r="D298" s="7"/>
    </row>
    <row r="299" spans="1:4" x14ac:dyDescent="0.25">
      <c r="A299" s="8"/>
      <c r="B299" s="8"/>
      <c r="C299" s="8"/>
      <c r="D299" s="8"/>
    </row>
    <row r="300" spans="1:4" x14ac:dyDescent="0.25">
      <c r="A300" s="9" t="s">
        <v>211</v>
      </c>
      <c r="B300" s="10" t="s">
        <v>21</v>
      </c>
      <c r="C300" s="1">
        <v>20288014.260000002</v>
      </c>
      <c r="D300" s="1">
        <v>256034739.93000001</v>
      </c>
    </row>
    <row r="301" spans="1:4" x14ac:dyDescent="0.25">
      <c r="A301" s="11"/>
      <c r="B301" s="11"/>
      <c r="C301" s="11"/>
      <c r="D301" s="11"/>
    </row>
    <row r="302" spans="1:4" x14ac:dyDescent="0.25">
      <c r="A302" s="4"/>
      <c r="B302" s="4"/>
      <c r="C302" s="4"/>
      <c r="D302" s="4"/>
    </row>
    <row r="303" spans="1:4" x14ac:dyDescent="0.25">
      <c r="A303" s="5" t="s">
        <v>212</v>
      </c>
      <c r="B303" s="6" t="s">
        <v>213</v>
      </c>
      <c r="C303" s="2">
        <v>40912430.469999999</v>
      </c>
      <c r="D303" s="2">
        <v>251070507.96000001</v>
      </c>
    </row>
    <row r="304" spans="1:4" x14ac:dyDescent="0.25">
      <c r="A304" s="7"/>
      <c r="B304" s="7"/>
      <c r="C304" s="7"/>
      <c r="D304" s="7"/>
    </row>
    <row r="305" spans="1:4" x14ac:dyDescent="0.25">
      <c r="A305" s="8"/>
      <c r="B305" s="8"/>
      <c r="C305" s="8"/>
      <c r="D305" s="8"/>
    </row>
    <row r="306" spans="1:4" ht="22.5" x14ac:dyDescent="0.25">
      <c r="A306" s="9" t="s">
        <v>214</v>
      </c>
      <c r="B306" s="10" t="s">
        <v>215</v>
      </c>
      <c r="C306" s="1">
        <v>0</v>
      </c>
      <c r="D306" s="1">
        <v>17792940.640000001</v>
      </c>
    </row>
    <row r="307" spans="1:4" x14ac:dyDescent="0.25">
      <c r="A307" s="11"/>
      <c r="B307" s="11"/>
      <c r="C307" s="11"/>
      <c r="D307" s="11"/>
    </row>
    <row r="308" spans="1:4" x14ac:dyDescent="0.25">
      <c r="A308" s="4"/>
      <c r="B308" s="4"/>
      <c r="C308" s="4"/>
      <c r="D308" s="4"/>
    </row>
    <row r="309" spans="1:4" x14ac:dyDescent="0.25">
      <c r="A309" s="5" t="s">
        <v>216</v>
      </c>
      <c r="B309" s="6" t="s">
        <v>217</v>
      </c>
      <c r="C309" s="2">
        <v>0</v>
      </c>
      <c r="D309" s="2">
        <v>30032719.879999999</v>
      </c>
    </row>
    <row r="310" spans="1:4" x14ac:dyDescent="0.25">
      <c r="A310" s="7"/>
      <c r="B310" s="7"/>
      <c r="C310" s="7"/>
      <c r="D310" s="7"/>
    </row>
    <row r="311" spans="1:4" x14ac:dyDescent="0.25">
      <c r="A311" s="8"/>
      <c r="B311" s="8"/>
      <c r="C311" s="8"/>
      <c r="D311" s="8"/>
    </row>
    <row r="312" spans="1:4" x14ac:dyDescent="0.25">
      <c r="A312" s="9" t="s">
        <v>218</v>
      </c>
      <c r="B312" s="10" t="s">
        <v>219</v>
      </c>
      <c r="C312" s="1">
        <v>0</v>
      </c>
      <c r="D312" s="1">
        <v>38850000</v>
      </c>
    </row>
    <row r="313" spans="1:4" x14ac:dyDescent="0.25">
      <c r="A313" s="11"/>
      <c r="B313" s="11"/>
      <c r="C313" s="11"/>
      <c r="D313" s="11"/>
    </row>
    <row r="314" spans="1:4" x14ac:dyDescent="0.25">
      <c r="A314" s="13"/>
      <c r="B314" s="13"/>
      <c r="C314" s="13"/>
      <c r="D314" s="13"/>
    </row>
    <row r="315" spans="1:4" x14ac:dyDescent="0.25">
      <c r="A315" s="14" t="s">
        <v>10</v>
      </c>
      <c r="B315" s="15" t="s">
        <v>22</v>
      </c>
      <c r="C315" s="16">
        <v>161757746.75999999</v>
      </c>
      <c r="D315" s="16">
        <v>1741496067.6600001</v>
      </c>
    </row>
    <row r="316" spans="1:4" x14ac:dyDescent="0.25">
      <c r="A316" s="17"/>
      <c r="B316" s="17"/>
      <c r="C316" s="17"/>
      <c r="D316" s="1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5월 공정현황</vt:lpstr>
      <vt:lpstr>5월 22일</vt:lpstr>
      <vt:lpstr>5월 26일</vt:lpstr>
      <vt:lpstr>5월 27일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성현 조</cp:lastModifiedBy>
  <dcterms:modified xsi:type="dcterms:W3CDTF">2026-05-27T01:24:19Z</dcterms:modified>
</cp:coreProperties>
</file>